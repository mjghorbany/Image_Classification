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3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brenne\AppData\Local\Microsoft\Windows\INetCache\Content.Outlook\VMYY2H55\"/>
    </mc:Choice>
  </mc:AlternateContent>
  <xr:revisionPtr revIDLastSave="0" documentId="13_ncr:1_{97F0A4DF-1EF0-45B4-95F0-65C7DE1B95C6}" xr6:coauthVersionLast="43" xr6:coauthVersionMax="43" xr10:uidLastSave="{00000000-0000-0000-0000-000000000000}"/>
  <bookViews>
    <workbookView xWindow="-120" yWindow="-120" windowWidth="51840" windowHeight="21240" xr2:uid="{C6597864-60E3-429D-96DB-3A54C543EF9B}"/>
  </bookViews>
  <sheets>
    <sheet name="Sheet1" sheetId="1" r:id="rId1"/>
    <sheet name="Sheet3" sheetId="3" r:id="rId2"/>
    <sheet name="ISS Images" sheetId="2" r:id="rId3"/>
  </sheets>
  <functionGroups builtInGroupCount="19"/>
  <definedNames>
    <definedName name="Biome_1">Sheet1!$V$4:$V$15</definedName>
    <definedName name="Biome_2">Sheet1!$Y$4:$Y$15</definedName>
    <definedName name="Biome_3">Sheet1!$AB$4:$AB$15</definedName>
    <definedName name="Biome_4">Sheet1!$AE$4:$AE$15</definedName>
    <definedName name="Biome_5">Sheet1!$AH$4:$AH$15</definedName>
    <definedName name="Biome_6">Sheet1!$AK$4:$AK$15</definedName>
    <definedName name="Biome_7">Sheet1!$AN$4:$AN$15</definedName>
    <definedName name="BiomeC_1">Sheet1!$W$4:$W$15</definedName>
    <definedName name="BiomeC_2">Sheet1!$Z$4:$Z$15</definedName>
    <definedName name="BiomeC_3">Sheet1!$AC$4:$AC$15</definedName>
    <definedName name="BiomeC_4">Sheet1!$AF$4:$AF$15</definedName>
    <definedName name="BiomeC_5">Sheet1!$AI$4:$AI$15</definedName>
    <definedName name="BiomeC_6">Sheet1!$AL$4:$AL$15</definedName>
    <definedName name="BiomeC_7">Sheet1!$AO$4:$AO$15</definedName>
    <definedName name="Min_B">Sheet1!$S$10</definedName>
    <definedName name="Min_G">Sheet1!$S$9</definedName>
    <definedName name="Min_R">Sheet1!$S$8</definedName>
    <definedName name="RGB_B">Sheet1!$S$7</definedName>
    <definedName name="RGB_G">Sheet1!$S$6</definedName>
    <definedName name="RGB_R">Sheet1!$S$5</definedName>
    <definedName name="Tundra">Sheet1!$V$4:$V$15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P75" i="1" s="1"/>
  <c r="O76" i="1"/>
  <c r="P76" i="1" s="1"/>
  <c r="O77" i="1"/>
  <c r="P77" i="1" s="1"/>
  <c r="O78" i="1"/>
  <c r="P78" i="1" s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G3" i="3"/>
  <c r="G4" i="3"/>
  <c r="G5" i="3"/>
  <c r="G6" i="3"/>
  <c r="G7" i="3"/>
  <c r="G8" i="3"/>
  <c r="G9" i="3"/>
  <c r="G10" i="3"/>
  <c r="G11" i="3"/>
  <c r="G12" i="3"/>
  <c r="G13" i="3"/>
  <c r="K13" i="3" s="1"/>
  <c r="G14" i="3"/>
  <c r="G15" i="3"/>
  <c r="K15" i="3" s="1"/>
  <c r="G16" i="3"/>
  <c r="G17" i="3"/>
  <c r="G18" i="3"/>
  <c r="G19" i="3"/>
  <c r="G20" i="3"/>
  <c r="G21" i="3"/>
  <c r="G22" i="3"/>
  <c r="G23" i="3"/>
  <c r="G24" i="3"/>
  <c r="G25" i="3"/>
  <c r="G26" i="3"/>
  <c r="G27" i="3"/>
  <c r="K27" i="3" s="1"/>
  <c r="G28" i="3"/>
  <c r="G29" i="3"/>
  <c r="G30" i="3"/>
  <c r="G31" i="3"/>
  <c r="K31" i="3" s="1"/>
  <c r="G32" i="3"/>
  <c r="G33" i="3"/>
  <c r="K33" i="3" s="1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K51" i="3" s="1"/>
  <c r="G52" i="3"/>
  <c r="G53" i="3"/>
  <c r="K53" i="3" s="1"/>
  <c r="G54" i="3"/>
  <c r="G55" i="3"/>
  <c r="G56" i="3"/>
  <c r="G57" i="3"/>
  <c r="G58" i="3"/>
  <c r="G59" i="3"/>
  <c r="K59" i="3" s="1"/>
  <c r="G60" i="3"/>
  <c r="K60" i="3" s="1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K77" i="3" s="1"/>
  <c r="G78" i="3"/>
  <c r="K78" i="3" s="1"/>
  <c r="G79" i="3"/>
  <c r="G80" i="3"/>
  <c r="G81" i="3"/>
  <c r="K81" i="3" s="1"/>
  <c r="G82" i="3"/>
  <c r="G83" i="3"/>
  <c r="G84" i="3"/>
  <c r="G85" i="3"/>
  <c r="K85" i="3" s="1"/>
  <c r="G86" i="3"/>
  <c r="G87" i="3"/>
  <c r="G88" i="3"/>
  <c r="G89" i="3"/>
  <c r="G90" i="3"/>
  <c r="G91" i="3"/>
  <c r="K91" i="3" s="1"/>
  <c r="G92" i="3"/>
  <c r="G93" i="3"/>
  <c r="K93" i="3" s="1"/>
  <c r="G94" i="3"/>
  <c r="G95" i="3"/>
  <c r="G96" i="3"/>
  <c r="G97" i="3"/>
  <c r="G98" i="3"/>
  <c r="G99" i="3"/>
  <c r="G100" i="3"/>
  <c r="G101" i="3"/>
  <c r="K101" i="3" s="1"/>
  <c r="G102" i="3"/>
  <c r="G103" i="3"/>
  <c r="G104" i="3"/>
  <c r="G105" i="3"/>
  <c r="G106" i="3"/>
  <c r="G107" i="3"/>
  <c r="K107" i="3" s="1"/>
  <c r="G108" i="3"/>
  <c r="G109" i="3"/>
  <c r="G110" i="3"/>
  <c r="G111" i="3"/>
  <c r="G112" i="3"/>
  <c r="G113" i="3"/>
  <c r="G114" i="3"/>
  <c r="G115" i="3"/>
  <c r="G116" i="3"/>
  <c r="G117" i="3"/>
  <c r="G118" i="3"/>
  <c r="G119" i="3"/>
  <c r="K119" i="3" s="1"/>
  <c r="G120" i="3"/>
  <c r="K120" i="3" s="1"/>
  <c r="G121" i="3"/>
  <c r="G122" i="3"/>
  <c r="K112" i="3" l="1"/>
  <c r="K89" i="3"/>
  <c r="K67" i="3"/>
  <c r="K75" i="3"/>
  <c r="K115" i="3"/>
  <c r="K87" i="3"/>
  <c r="K121" i="3"/>
  <c r="K122" i="3"/>
  <c r="K114" i="3"/>
  <c r="K72" i="3"/>
  <c r="K74" i="3"/>
  <c r="K16" i="3"/>
  <c r="K34" i="3"/>
  <c r="K48" i="3"/>
  <c r="K49" i="3"/>
  <c r="K97" i="3"/>
  <c r="K80" i="3"/>
  <c r="K56" i="3"/>
  <c r="K68" i="3"/>
  <c r="K58" i="3"/>
  <c r="K103" i="3"/>
  <c r="K66" i="3"/>
  <c r="K41" i="3"/>
  <c r="K63" i="3"/>
  <c r="K35" i="3"/>
  <c r="K25" i="3"/>
  <c r="K118" i="3"/>
  <c r="K71" i="3"/>
  <c r="K99" i="3"/>
  <c r="K38" i="3"/>
  <c r="K83" i="3"/>
  <c r="K39" i="3"/>
  <c r="K47" i="3"/>
  <c r="K65" i="3"/>
  <c r="K90" i="3"/>
  <c r="K50" i="3"/>
  <c r="K54" i="3"/>
  <c r="K94" i="3"/>
  <c r="K17" i="3"/>
  <c r="K111" i="3"/>
  <c r="K22" i="3"/>
  <c r="K116" i="3"/>
  <c r="K92" i="3"/>
  <c r="K96" i="3"/>
  <c r="K11" i="3"/>
  <c r="K113" i="3"/>
  <c r="K95" i="3"/>
  <c r="K26" i="3"/>
  <c r="K104" i="3"/>
  <c r="K98" i="3"/>
  <c r="K106" i="3"/>
  <c r="K45" i="3"/>
  <c r="K73" i="3"/>
  <c r="K42" i="3"/>
  <c r="K64" i="3"/>
  <c r="K28" i="3"/>
  <c r="K30" i="3"/>
  <c r="K23" i="3"/>
  <c r="K100" i="3"/>
  <c r="K14" i="3"/>
  <c r="K24" i="3"/>
  <c r="K69" i="3"/>
  <c r="K5" i="3"/>
  <c r="K44" i="3"/>
  <c r="K29" i="3"/>
  <c r="K61" i="3"/>
  <c r="K7" i="3"/>
  <c r="K37" i="3"/>
  <c r="K52" i="3"/>
  <c r="K40" i="3"/>
  <c r="K32" i="3"/>
  <c r="K88" i="3"/>
  <c r="K82" i="3"/>
  <c r="K117" i="3"/>
  <c r="K70" i="3"/>
  <c r="K46" i="3"/>
  <c r="K12" i="3"/>
  <c r="K76" i="3"/>
  <c r="K84" i="3"/>
  <c r="K6" i="3"/>
  <c r="J9" i="3"/>
  <c r="K62" i="3"/>
  <c r="K18" i="3"/>
  <c r="K4" i="3"/>
  <c r="K43" i="3"/>
  <c r="K8" i="3"/>
  <c r="K20" i="3"/>
  <c r="K36" i="3"/>
  <c r="K57" i="3"/>
  <c r="K110" i="3"/>
  <c r="K19" i="3"/>
  <c r="K108" i="3"/>
  <c r="K102" i="3"/>
  <c r="K10" i="3"/>
  <c r="K3" i="3"/>
  <c r="K86" i="3"/>
  <c r="K105" i="3"/>
  <c r="K55" i="3"/>
  <c r="K21" i="3"/>
  <c r="K79" i="3"/>
  <c r="K109" i="3"/>
  <c r="K9" i="3"/>
  <c r="J122" i="3"/>
  <c r="J110" i="3"/>
  <c r="J102" i="3"/>
  <c r="J86" i="3"/>
  <c r="J78" i="3"/>
  <c r="J66" i="3"/>
  <c r="J58" i="3"/>
  <c r="J50" i="3"/>
  <c r="J46" i="3"/>
  <c r="J38" i="3"/>
  <c r="J30" i="3"/>
  <c r="J22" i="3"/>
  <c r="J6" i="3"/>
  <c r="J121" i="3"/>
  <c r="J117" i="3"/>
  <c r="J113" i="3"/>
  <c r="J109" i="3"/>
  <c r="J105" i="3"/>
  <c r="J101" i="3"/>
  <c r="J97" i="3"/>
  <c r="J93" i="3"/>
  <c r="J89" i="3"/>
  <c r="J85" i="3"/>
  <c r="J81" i="3"/>
  <c r="J77" i="3"/>
  <c r="J73" i="3"/>
  <c r="J69" i="3"/>
  <c r="J65" i="3"/>
  <c r="J61" i="3"/>
  <c r="J57" i="3"/>
  <c r="J53" i="3"/>
  <c r="J49" i="3"/>
  <c r="J45" i="3"/>
  <c r="J41" i="3"/>
  <c r="J37" i="3"/>
  <c r="J33" i="3"/>
  <c r="J29" i="3"/>
  <c r="J25" i="3"/>
  <c r="J21" i="3"/>
  <c r="J17" i="3"/>
  <c r="J13" i="3"/>
  <c r="J5" i="3"/>
  <c r="J118" i="3"/>
  <c r="J106" i="3"/>
  <c r="J94" i="3"/>
  <c r="J74" i="3"/>
  <c r="J14" i="3"/>
  <c r="J120" i="3"/>
  <c r="J116" i="3"/>
  <c r="J112" i="3"/>
  <c r="J108" i="3"/>
  <c r="J104" i="3"/>
  <c r="J100" i="3"/>
  <c r="J96" i="3"/>
  <c r="J92" i="3"/>
  <c r="J88" i="3"/>
  <c r="J84" i="3"/>
  <c r="J80" i="3"/>
  <c r="J76" i="3"/>
  <c r="J72" i="3"/>
  <c r="J68" i="3"/>
  <c r="J64" i="3"/>
  <c r="J60" i="3"/>
  <c r="J56" i="3"/>
  <c r="J52" i="3"/>
  <c r="J48" i="3"/>
  <c r="J44" i="3"/>
  <c r="J40" i="3"/>
  <c r="J36" i="3"/>
  <c r="J32" i="3"/>
  <c r="J28" i="3"/>
  <c r="J24" i="3"/>
  <c r="J20" i="3"/>
  <c r="J16" i="3"/>
  <c r="J12" i="3"/>
  <c r="J8" i="3"/>
  <c r="J4" i="3"/>
  <c r="J114" i="3"/>
  <c r="J98" i="3"/>
  <c r="J90" i="3"/>
  <c r="J82" i="3"/>
  <c r="J70" i="3"/>
  <c r="J62" i="3"/>
  <c r="J54" i="3"/>
  <c r="J42" i="3"/>
  <c r="J34" i="3"/>
  <c r="J26" i="3"/>
  <c r="J18" i="3"/>
  <c r="J10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7" i="3"/>
  <c r="J43" i="3"/>
  <c r="J39" i="3"/>
  <c r="J35" i="3"/>
  <c r="J31" i="3"/>
  <c r="J27" i="3"/>
  <c r="J23" i="3"/>
  <c r="J19" i="3"/>
  <c r="J15" i="3"/>
  <c r="J11" i="3"/>
  <c r="J7" i="3"/>
  <c r="J3" i="3"/>
  <c r="S10" i="1" l="1"/>
  <c r="S8" i="1"/>
  <c r="S9" i="1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H4" i="1"/>
  <c r="K4" i="1" s="1"/>
  <c r="H5" i="1"/>
  <c r="K5" i="1" s="1"/>
  <c r="H6" i="1"/>
  <c r="K6" i="1" s="1"/>
  <c r="H7" i="1"/>
  <c r="K7" i="1" s="1"/>
  <c r="H8" i="1"/>
  <c r="K8" i="1" s="1"/>
  <c r="H9" i="1"/>
  <c r="K9" i="1" s="1"/>
  <c r="H10" i="1"/>
  <c r="K10" i="1" s="1"/>
  <c r="H11" i="1"/>
  <c r="K11" i="1" s="1"/>
  <c r="H12" i="1"/>
  <c r="K12" i="1" s="1"/>
  <c r="H13" i="1"/>
  <c r="K13" i="1" s="1"/>
  <c r="H14" i="1"/>
  <c r="K14" i="1" s="1"/>
  <c r="H15" i="1"/>
  <c r="K15" i="1" s="1"/>
  <c r="H16" i="1"/>
  <c r="K16" i="1" s="1"/>
  <c r="H17" i="1"/>
  <c r="K17" i="1" s="1"/>
  <c r="H18" i="1"/>
  <c r="K18" i="1" s="1"/>
  <c r="H19" i="1"/>
  <c r="K19" i="1" s="1"/>
  <c r="H20" i="1"/>
  <c r="K20" i="1" s="1"/>
  <c r="H21" i="1"/>
  <c r="K21" i="1" s="1"/>
  <c r="H22" i="1"/>
  <c r="K22" i="1" s="1"/>
  <c r="H23" i="1"/>
  <c r="K23" i="1" s="1"/>
  <c r="H24" i="1"/>
  <c r="K24" i="1" s="1"/>
  <c r="H25" i="1"/>
  <c r="K25" i="1" s="1"/>
  <c r="H26" i="1"/>
  <c r="K26" i="1" s="1"/>
  <c r="H27" i="1"/>
  <c r="H28" i="1"/>
  <c r="K28" i="1" s="1"/>
  <c r="H29" i="1"/>
  <c r="K29" i="1" s="1"/>
  <c r="H30" i="1"/>
  <c r="K30" i="1" s="1"/>
  <c r="H31" i="1"/>
  <c r="K31" i="1" s="1"/>
  <c r="H32" i="1"/>
  <c r="K32" i="1" s="1"/>
  <c r="H33" i="1"/>
  <c r="K33" i="1" s="1"/>
  <c r="H34" i="1"/>
  <c r="K34" i="1" s="1"/>
  <c r="H35" i="1"/>
  <c r="K35" i="1" s="1"/>
  <c r="H36" i="1"/>
  <c r="K36" i="1" s="1"/>
  <c r="H37" i="1"/>
  <c r="K37" i="1" s="1"/>
  <c r="H38" i="1"/>
  <c r="K38" i="1" s="1"/>
  <c r="H39" i="1"/>
  <c r="K39" i="1" s="1"/>
  <c r="H40" i="1"/>
  <c r="K40" i="1" s="1"/>
  <c r="H41" i="1"/>
  <c r="K41" i="1" s="1"/>
  <c r="H42" i="1"/>
  <c r="K42" i="1" s="1"/>
  <c r="H43" i="1"/>
  <c r="K43" i="1" s="1"/>
  <c r="H44" i="1"/>
  <c r="K44" i="1" s="1"/>
  <c r="H45" i="1"/>
  <c r="K45" i="1" s="1"/>
  <c r="H46" i="1"/>
  <c r="K46" i="1" s="1"/>
  <c r="H47" i="1"/>
  <c r="K47" i="1" s="1"/>
  <c r="H48" i="1"/>
  <c r="K48" i="1" s="1"/>
  <c r="H49" i="1"/>
  <c r="K49" i="1" s="1"/>
  <c r="H50" i="1"/>
  <c r="K50" i="1" s="1"/>
  <c r="H51" i="1"/>
  <c r="K51" i="1" s="1"/>
  <c r="H52" i="1"/>
  <c r="K52" i="1" s="1"/>
  <c r="H53" i="1"/>
  <c r="K53" i="1" s="1"/>
  <c r="H54" i="1"/>
  <c r="K54" i="1" s="1"/>
  <c r="H55" i="1"/>
  <c r="K55" i="1" s="1"/>
  <c r="H56" i="1"/>
  <c r="K56" i="1" s="1"/>
  <c r="H57" i="1"/>
  <c r="K57" i="1" s="1"/>
  <c r="H58" i="1"/>
  <c r="K58" i="1" s="1"/>
  <c r="H59" i="1"/>
  <c r="K59" i="1" s="1"/>
  <c r="H60" i="1"/>
  <c r="K60" i="1" s="1"/>
  <c r="H61" i="1"/>
  <c r="K61" i="1" s="1"/>
  <c r="H62" i="1"/>
  <c r="K62" i="1" s="1"/>
  <c r="H63" i="1"/>
  <c r="K63" i="1" s="1"/>
  <c r="H64" i="1"/>
  <c r="K64" i="1" s="1"/>
  <c r="H65" i="1"/>
  <c r="K65" i="1" s="1"/>
  <c r="H66" i="1"/>
  <c r="K66" i="1" s="1"/>
  <c r="H67" i="1"/>
  <c r="K67" i="1" s="1"/>
  <c r="H68" i="1"/>
  <c r="K68" i="1" s="1"/>
  <c r="H69" i="1"/>
  <c r="K69" i="1" s="1"/>
  <c r="H70" i="1"/>
  <c r="K70" i="1" s="1"/>
  <c r="H71" i="1"/>
  <c r="K71" i="1" s="1"/>
  <c r="H72" i="1"/>
  <c r="K72" i="1" s="1"/>
  <c r="H73" i="1"/>
  <c r="K73" i="1" s="1"/>
  <c r="H74" i="1"/>
  <c r="K74" i="1" s="1"/>
  <c r="H75" i="1"/>
  <c r="K75" i="1" s="1"/>
  <c r="H76" i="1"/>
  <c r="K76" i="1" s="1"/>
  <c r="H77" i="1"/>
  <c r="K77" i="1" s="1"/>
  <c r="H78" i="1"/>
  <c r="K78" i="1" s="1"/>
  <c r="H79" i="1"/>
  <c r="K79" i="1" s="1"/>
  <c r="H80" i="1"/>
  <c r="K80" i="1" s="1"/>
  <c r="H81" i="1"/>
  <c r="K81" i="1" s="1"/>
  <c r="H82" i="1"/>
  <c r="K82" i="1" s="1"/>
  <c r="H83" i="1"/>
  <c r="K83" i="1" s="1"/>
  <c r="H84" i="1"/>
  <c r="K84" i="1" s="1"/>
  <c r="H85" i="1"/>
  <c r="K85" i="1" s="1"/>
  <c r="H86" i="1"/>
  <c r="K86" i="1" s="1"/>
  <c r="H87" i="1"/>
  <c r="K87" i="1" s="1"/>
  <c r="K27" i="1" l="1"/>
</calcChain>
</file>

<file path=xl/sharedStrings.xml><?xml version="1.0" encoding="utf-8"?>
<sst xmlns="http://schemas.openxmlformats.org/spreadsheetml/2006/main" count="560" uniqueCount="360">
  <si>
    <t>exact</t>
  </si>
  <si>
    <t>C</t>
  </si>
  <si>
    <t>Biome</t>
  </si>
  <si>
    <t>Month</t>
  </si>
  <si>
    <t>Hexvalue</t>
  </si>
  <si>
    <t>BiomeNum</t>
  </si>
  <si>
    <t>MonthNum</t>
  </si>
  <si>
    <t>R</t>
  </si>
  <si>
    <t>G</t>
  </si>
  <si>
    <t>B</t>
  </si>
  <si>
    <t>Color</t>
  </si>
  <si>
    <t>CR</t>
  </si>
  <si>
    <t>CG</t>
  </si>
  <si>
    <t>CB</t>
  </si>
  <si>
    <t>Crayola</t>
  </si>
  <si>
    <t>CName</t>
  </si>
  <si>
    <t>Tundra</t>
  </si>
  <si>
    <t>Tropical Grassland</t>
  </si>
  <si>
    <t>Temperate Grassland</t>
  </si>
  <si>
    <t>Rainforest</t>
  </si>
  <si>
    <t>Desert</t>
  </si>
  <si>
    <t>Deciduous Forest</t>
  </si>
  <si>
    <t>Boreal Forest</t>
  </si>
  <si>
    <t>Jan</t>
  </si>
  <si>
    <t>2A9FA1</t>
  </si>
  <si>
    <t>Feb</t>
  </si>
  <si>
    <t>RGB_R</t>
  </si>
  <si>
    <t>Mar</t>
  </si>
  <si>
    <t>RGB_G</t>
  </si>
  <si>
    <t>Apr</t>
  </si>
  <si>
    <t>14B3B7</t>
  </si>
  <si>
    <t>RGB_B</t>
  </si>
  <si>
    <t>May</t>
  </si>
  <si>
    <t>279BA4</t>
  </si>
  <si>
    <t>MinR</t>
  </si>
  <si>
    <t>Jun</t>
  </si>
  <si>
    <t>239EA8</t>
  </si>
  <si>
    <t>MinG</t>
  </si>
  <si>
    <t>Jul</t>
  </si>
  <si>
    <t>1EA3AD</t>
  </si>
  <si>
    <t>MinB</t>
  </si>
  <si>
    <t>Aug</t>
  </si>
  <si>
    <t>1EA5AD</t>
  </si>
  <si>
    <t>Sep</t>
  </si>
  <si>
    <t>23A2A8</t>
  </si>
  <si>
    <t>Oct</t>
  </si>
  <si>
    <t>Nov</t>
  </si>
  <si>
    <t>1B5158</t>
  </si>
  <si>
    <t>Dec</t>
  </si>
  <si>
    <t>2C9B9F</t>
  </si>
  <si>
    <t>1C4257</t>
  </si>
  <si>
    <t>4F6C3B</t>
  </si>
  <si>
    <t>4C673C</t>
  </si>
  <si>
    <t>609A31</t>
  </si>
  <si>
    <t>1A2836</t>
  </si>
  <si>
    <t>2C4D56</t>
  </si>
  <si>
    <t>80644B</t>
  </si>
  <si>
    <t>2B4956</t>
  </si>
  <si>
    <t>1E4557</t>
  </si>
  <si>
    <t>297E7B</t>
  </si>
  <si>
    <t>2699A5</t>
  </si>
  <si>
    <t>1F5157</t>
  </si>
  <si>
    <t>659A31</t>
  </si>
  <si>
    <t>48A229</t>
  </si>
  <si>
    <t>619A31</t>
  </si>
  <si>
    <t>5F9437</t>
  </si>
  <si>
    <t>639A31</t>
  </si>
  <si>
    <t>124F5D</t>
  </si>
  <si>
    <t>4D6938</t>
  </si>
  <si>
    <t>4F6A45</t>
  </si>
  <si>
    <t>5F8142</t>
  </si>
  <si>
    <t>669D2E</t>
  </si>
  <si>
    <t>507E2C</t>
  </si>
  <si>
    <t>60853C</t>
  </si>
  <si>
    <t>699338</t>
  </si>
  <si>
    <t>639B30</t>
  </si>
  <si>
    <t>4D6936</t>
  </si>
  <si>
    <t>333E56</t>
  </si>
  <si>
    <t>4B7069</t>
  </si>
  <si>
    <t>45867C</t>
  </si>
  <si>
    <t>45867E</t>
  </si>
  <si>
    <t>4A8175</t>
  </si>
  <si>
    <t>4B8071</t>
  </si>
  <si>
    <t>28A397</t>
  </si>
  <si>
    <t>6C6948</t>
  </si>
  <si>
    <t>589B30</t>
  </si>
  <si>
    <t>4EA12A</t>
  </si>
  <si>
    <t>639E2D</t>
  </si>
  <si>
    <t>4DA328</t>
  </si>
  <si>
    <t>4E7229</t>
  </si>
  <si>
    <t>4C672E</t>
  </si>
  <si>
    <t>5D9536</t>
  </si>
  <si>
    <t>4F5B35</t>
  </si>
  <si>
    <t>2C9F95</t>
  </si>
  <si>
    <t>1E5557</t>
  </si>
  <si>
    <t>319A99</t>
  </si>
  <si>
    <t>1AA7B1</t>
  </si>
  <si>
    <t>4E6830</t>
  </si>
  <si>
    <t>5F7D37</t>
  </si>
  <si>
    <t>29A295</t>
  </si>
  <si>
    <t>ColorName</t>
  </si>
  <si>
    <t>Hex</t>
  </si>
  <si>
    <t>ΔR^2</t>
  </si>
  <si>
    <t>ΔG^2</t>
  </si>
  <si>
    <t>ΔB^2</t>
  </si>
  <si>
    <t>Dist1</t>
  </si>
  <si>
    <t>Dist2</t>
  </si>
  <si>
    <t>Red</t>
  </si>
  <si>
    <t>#ED0A3F</t>
  </si>
  <si>
    <t>Maroon</t>
  </si>
  <si>
    <t>#C32148</t>
  </si>
  <si>
    <t>Scarlet</t>
  </si>
  <si>
    <t>#FD0E35</t>
  </si>
  <si>
    <t>Brick Red</t>
  </si>
  <si>
    <t>#C62D42</t>
  </si>
  <si>
    <t>Indian Red</t>
  </si>
  <si>
    <t>#B94E48</t>
  </si>
  <si>
    <t>Orange-Red</t>
  </si>
  <si>
    <t>#FF5349</t>
  </si>
  <si>
    <t>Sunset Orange</t>
  </si>
  <si>
    <t>#FE4C40</t>
  </si>
  <si>
    <t>Bittersweet</t>
  </si>
  <si>
    <t>#FE6F5E</t>
  </si>
  <si>
    <t>Vivid Tangerine</t>
  </si>
  <si>
    <t>#FF9980</t>
  </si>
  <si>
    <t>Burnt Orange</t>
  </si>
  <si>
    <t>#FF7034</t>
  </si>
  <si>
    <t>Red-Orange</t>
  </si>
  <si>
    <t>#FF681F</t>
  </si>
  <si>
    <t>Orange</t>
  </si>
  <si>
    <t>#FF8833</t>
  </si>
  <si>
    <t>Macaroni and Cheese</t>
  </si>
  <si>
    <t>#FFB97B</t>
  </si>
  <si>
    <t>Mango Tango</t>
  </si>
  <si>
    <t>#E77200</t>
  </si>
  <si>
    <t>Yellow-Orange</t>
  </si>
  <si>
    <t>#FFAE42</t>
  </si>
  <si>
    <t>Banana Mania</t>
  </si>
  <si>
    <t>#FBE7B2</t>
  </si>
  <si>
    <t>Wild Blue Yonder</t>
  </si>
  <si>
    <t>#7A89B8</t>
  </si>
  <si>
    <t>Yellow</t>
  </si>
  <si>
    <t>#FBE870</t>
  </si>
  <si>
    <t>Blue-Green</t>
  </si>
  <si>
    <t>#0095B7</t>
  </si>
  <si>
    <t>Caribbean Green</t>
  </si>
  <si>
    <t>#00CC99</t>
  </si>
  <si>
    <t>Forest Green</t>
  </si>
  <si>
    <t>#5FA777</t>
  </si>
  <si>
    <t>Canary</t>
  </si>
  <si>
    <t>#FFFF99</t>
  </si>
  <si>
    <t>Inchworm</t>
  </si>
  <si>
    <t>#AFE313</t>
  </si>
  <si>
    <t>Green</t>
  </si>
  <si>
    <t>#1CAC78</t>
  </si>
  <si>
    <t>Asparagus</t>
  </si>
  <si>
    <t>#7BA05B</t>
  </si>
  <si>
    <t>Granny Smith Apple</t>
  </si>
  <si>
    <t>#9DE093</t>
  </si>
  <si>
    <t>Fern</t>
  </si>
  <si>
    <t>#63B76C</t>
  </si>
  <si>
    <t>Green-Yellow</t>
  </si>
  <si>
    <t>#F1E788</t>
  </si>
  <si>
    <t>Jungle Green</t>
  </si>
  <si>
    <t>#29AB87</t>
  </si>
  <si>
    <t>Olive Green</t>
  </si>
  <si>
    <t>#B5B35C</t>
  </si>
  <si>
    <t>Shamrock</t>
  </si>
  <si>
    <t>#33CC99</t>
  </si>
  <si>
    <t>Mountain Meadow</t>
  </si>
  <si>
    <t>#1AB385</t>
  </si>
  <si>
    <t>Pine Green</t>
  </si>
  <si>
    <t>#01786F</t>
  </si>
  <si>
    <t>Screamin' Green</t>
  </si>
  <si>
    <t>#66FF66</t>
  </si>
  <si>
    <t>Tropical Rain Forest</t>
  </si>
  <si>
    <t>#00755E</t>
  </si>
  <si>
    <t>Sea Green</t>
  </si>
  <si>
    <t>#93DFB8</t>
  </si>
  <si>
    <t>Robin's Egg Blue</t>
  </si>
  <si>
    <t>#00CCCC</t>
  </si>
  <si>
    <t>Teal Blue</t>
  </si>
  <si>
    <t>#008080</t>
  </si>
  <si>
    <t>Aquamarine</t>
  </si>
  <si>
    <t>#95EDE8</t>
  </si>
  <si>
    <t>Turquoise Blue</t>
  </si>
  <si>
    <t>#6CDAE7</t>
  </si>
  <si>
    <t>Outer Space</t>
  </si>
  <si>
    <t>#2D383A</t>
  </si>
  <si>
    <t>Sky Blue</t>
  </si>
  <si>
    <t>#76D7EA</t>
  </si>
  <si>
    <t>Spring Green</t>
  </si>
  <si>
    <t>#ECEBBD</t>
  </si>
  <si>
    <t>Pacific Blue</t>
  </si>
  <si>
    <t>#009DC4</t>
  </si>
  <si>
    <t>Cerulean</t>
  </si>
  <si>
    <t>#02A4D3</t>
  </si>
  <si>
    <t>Cornflower</t>
  </si>
  <si>
    <t>#93CCEA</t>
  </si>
  <si>
    <t>Midnight Blue</t>
  </si>
  <si>
    <t>#00468C</t>
  </si>
  <si>
    <t>Navy Blue</t>
  </si>
  <si>
    <t>#0066CC</t>
  </si>
  <si>
    <t>Lavender (II)</t>
  </si>
  <si>
    <t>#FBAED2</t>
  </si>
  <si>
    <t>Blue (III)</t>
  </si>
  <si>
    <t>#0066FF</t>
  </si>
  <si>
    <t>Goldenrod</t>
  </si>
  <si>
    <t>#FCD667</t>
  </si>
  <si>
    <t>Periwinkle</t>
  </si>
  <si>
    <t>#C3CDE6</t>
  </si>
  <si>
    <t>Bluetiful</t>
  </si>
  <si>
    <t>#2E5090</t>
  </si>
  <si>
    <t>Desert Sand</t>
  </si>
  <si>
    <t>#EDC9AF</t>
  </si>
  <si>
    <t>Indigo</t>
  </si>
  <si>
    <t>#4F69C6</t>
  </si>
  <si>
    <t>Manatee</t>
  </si>
  <si>
    <t>#8D90A1</t>
  </si>
  <si>
    <t>Blue Bell</t>
  </si>
  <si>
    <t>#9999CC</t>
  </si>
  <si>
    <t>Blue-Violet</t>
  </si>
  <si>
    <t>#6456B7</t>
  </si>
  <si>
    <t>Purple Heart</t>
  </si>
  <si>
    <t>#652DC1</t>
  </si>
  <si>
    <t>Royal Purple</t>
  </si>
  <si>
    <t>#6B3FA0</t>
  </si>
  <si>
    <t>Violet (II)</t>
  </si>
  <si>
    <t>#8359A3</t>
  </si>
  <si>
    <t>Wisteria</t>
  </si>
  <si>
    <t>#C9A0DC</t>
  </si>
  <si>
    <t>Vivid Violet</t>
  </si>
  <si>
    <t>#803790</t>
  </si>
  <si>
    <t>Purple Mountains' Majesty</t>
  </si>
  <si>
    <t>#D6AEDD</t>
  </si>
  <si>
    <t>Fuchsia</t>
  </si>
  <si>
    <t>#C154C1</t>
  </si>
  <si>
    <t>Pink Flamingo</t>
  </si>
  <si>
    <t>#FC74FD</t>
  </si>
  <si>
    <t>Orchid</t>
  </si>
  <si>
    <t>#E29CD2</t>
  </si>
  <si>
    <t>Plum</t>
  </si>
  <si>
    <t>#8E3179</t>
  </si>
  <si>
    <t>Red-Violet</t>
  </si>
  <si>
    <t>#BB3385</t>
  </si>
  <si>
    <t>Jazzberry Jam</t>
  </si>
  <si>
    <t>#A50B5E</t>
  </si>
  <si>
    <t>Eggplant</t>
  </si>
  <si>
    <t>#614051</t>
  </si>
  <si>
    <t>Magenta</t>
  </si>
  <si>
    <t>#F653A6</t>
  </si>
  <si>
    <t>Cerise</t>
  </si>
  <si>
    <t>#DA3287</t>
  </si>
  <si>
    <t>Wild Strawberry</t>
  </si>
  <si>
    <t>#FF3399</t>
  </si>
  <si>
    <t>Denim</t>
  </si>
  <si>
    <t>#1560BD</t>
  </si>
  <si>
    <t>Cotton Candy</t>
  </si>
  <si>
    <t>#FFB7D5</t>
  </si>
  <si>
    <t>Carnation Pink</t>
  </si>
  <si>
    <t>#FFA6C9</t>
  </si>
  <si>
    <t>Violet-Red</t>
  </si>
  <si>
    <t>#F7468A</t>
  </si>
  <si>
    <t>Razzmatazz</t>
  </si>
  <si>
    <t>#E30B5C</t>
  </si>
  <si>
    <t>Blush</t>
  </si>
  <si>
    <t>#DB5079</t>
  </si>
  <si>
    <t>Tickle Me Pink</t>
  </si>
  <si>
    <t>#FC80A5</t>
  </si>
  <si>
    <t>Mauvelous</t>
  </si>
  <si>
    <t>#F091A9</t>
  </si>
  <si>
    <t>Salmon</t>
  </si>
  <si>
    <t>#FF91A4</t>
  </si>
  <si>
    <t>Mahogany</t>
  </si>
  <si>
    <t>#CA3435</t>
  </si>
  <si>
    <t>Melon</t>
  </si>
  <si>
    <t>#FEBAAD</t>
  </si>
  <si>
    <t>Pink Sherbert</t>
  </si>
  <si>
    <t>#F7A38E</t>
  </si>
  <si>
    <t>Burnt Sienna</t>
  </si>
  <si>
    <t>#E97451</t>
  </si>
  <si>
    <t>Brown</t>
  </si>
  <si>
    <t>#AF593E</t>
  </si>
  <si>
    <t>Sepia</t>
  </si>
  <si>
    <t>#9E5B40</t>
  </si>
  <si>
    <t>Fuzzy Wuzzy</t>
  </si>
  <si>
    <t>#87421F</t>
  </si>
  <si>
    <t>Beaver</t>
  </si>
  <si>
    <t>#926F5B</t>
  </si>
  <si>
    <t>Tumbleweed</t>
  </si>
  <si>
    <t>#DEA681</t>
  </si>
  <si>
    <t>Raw Sienna</t>
  </si>
  <si>
    <t>#D27D46</t>
  </si>
  <si>
    <t>Tan</t>
  </si>
  <si>
    <t>#D49A6C</t>
  </si>
  <si>
    <t>Cadet Blue</t>
  </si>
  <si>
    <t>#A9B2C3</t>
  </si>
  <si>
    <t>Peach</t>
  </si>
  <si>
    <t>#FFCBA4</t>
  </si>
  <si>
    <t>Apricot</t>
  </si>
  <si>
    <t>#FDD5B1</t>
  </si>
  <si>
    <t>Almond</t>
  </si>
  <si>
    <t>#EED9C4</t>
  </si>
  <si>
    <t>Shadow</t>
  </si>
  <si>
    <t>#837050</t>
  </si>
  <si>
    <t>Timberwolf</t>
  </si>
  <si>
    <t>#D9D6CF</t>
  </si>
  <si>
    <t>Gold (II)</t>
  </si>
  <si>
    <t>#E6BE8A</t>
  </si>
  <si>
    <t>Silver</t>
  </si>
  <si>
    <t>#C9C0BB</t>
  </si>
  <si>
    <t>Copper</t>
  </si>
  <si>
    <t>#DA8A67</t>
  </si>
  <si>
    <t>Antique Brass</t>
  </si>
  <si>
    <t>#C88A65</t>
  </si>
  <si>
    <t>Black</t>
  </si>
  <si>
    <t>#000000</t>
  </si>
  <si>
    <t>Gray</t>
  </si>
  <si>
    <t>#8B8680</t>
  </si>
  <si>
    <t>White</t>
  </si>
  <si>
    <t>#FFFFFF</t>
  </si>
  <si>
    <t>Neon Carrot</t>
  </si>
  <si>
    <t>#FFA343</t>
  </si>
  <si>
    <t>Razzle Dazzle</t>
  </si>
  <si>
    <t>#EE34B2</t>
  </si>
  <si>
    <t>Radical Red</t>
  </si>
  <si>
    <t>#FF355E</t>
  </si>
  <si>
    <t>Wild Watermelon</t>
  </si>
  <si>
    <t>#FD5B78</t>
  </si>
  <si>
    <t>Outrageous Orange</t>
  </si>
  <si>
    <t>#FF6037</t>
  </si>
  <si>
    <t>Atomic Tangerine</t>
  </si>
  <si>
    <t>#FF9966</t>
  </si>
  <si>
    <t>Sunglow</t>
  </si>
  <si>
    <t>#FFCC33</t>
  </si>
  <si>
    <t>Laser Lemon</t>
  </si>
  <si>
    <t>#FFFF66</t>
  </si>
  <si>
    <t>Unmellow Yellow</t>
  </si>
  <si>
    <t>Yellow-Green</t>
  </si>
  <si>
    <t>#C5E17A</t>
  </si>
  <si>
    <t>Shocking Pink</t>
  </si>
  <si>
    <t>#FF6EFF</t>
  </si>
  <si>
    <t>Hot Magenta</t>
  </si>
  <si>
    <t>#FF00CC</t>
  </si>
  <si>
    <t>Purple Pizzazz</t>
  </si>
  <si>
    <t>ISS Image</t>
  </si>
  <si>
    <t>Thundra</t>
  </si>
  <si>
    <t>374A63</t>
  </si>
  <si>
    <t>4A6978</t>
  </si>
  <si>
    <t>RainForest</t>
  </si>
  <si>
    <t>Desrt</t>
  </si>
  <si>
    <t>Decidous Forest</t>
  </si>
  <si>
    <t>284B79</t>
  </si>
  <si>
    <t xml:space="preserve">Boreal </t>
  </si>
  <si>
    <t>2F455B</t>
  </si>
  <si>
    <t>#FF1DCE</t>
  </si>
  <si>
    <t>1F5156</t>
  </si>
  <si>
    <t>5E7E36</t>
  </si>
  <si>
    <t>649E2D</t>
  </si>
  <si>
    <t>4A8177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</si>
</sst>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Segoe UI"/>
      <family val="2"/>
    </font>
    <font>
      <sz val="11"/>
      <color rgb="FF000000"/>
      <name val="Courier New"/>
      <family val="3"/>
    </font>
  </fonts>
  <fills count="200">
    <fill>
      <patternFill patternType="none"/>
    </fill>
    <fill>
      <patternFill patternType="gray125"/>
    </fill>
    <fill>
      <patternFill patternType="solid">
        <fgColor rgb="FF2A9FA1"/>
        <bgColor indexed="64"/>
      </patternFill>
    </fill>
    <fill>
      <patternFill patternType="solid">
        <fgColor rgb="FF145059"/>
        <bgColor indexed="64"/>
      </patternFill>
    </fill>
    <fill>
      <patternFill patternType="solid">
        <fgColor rgb="FF14B3B7"/>
        <bgColor indexed="64"/>
      </patternFill>
    </fill>
    <fill>
      <patternFill patternType="solid">
        <fgColor rgb="FF279BA4"/>
        <bgColor indexed="64"/>
      </patternFill>
    </fill>
    <fill>
      <patternFill patternType="solid">
        <fgColor rgb="FF239EA8"/>
        <bgColor indexed="64"/>
      </patternFill>
    </fill>
    <fill>
      <patternFill patternType="solid">
        <fgColor rgb="FF1EA3AD"/>
        <bgColor indexed="64"/>
      </patternFill>
    </fill>
    <fill>
      <patternFill patternType="solid">
        <fgColor rgb="FF1EA5AD"/>
        <bgColor indexed="64"/>
      </patternFill>
    </fill>
    <fill>
      <patternFill patternType="solid">
        <fgColor rgb="FF23A2A8"/>
        <bgColor indexed="64"/>
      </patternFill>
    </fill>
    <fill>
      <patternFill patternType="solid">
        <fgColor rgb="FF1B5158"/>
        <bgColor indexed="64"/>
      </patternFill>
    </fill>
    <fill>
      <patternFill patternType="solid">
        <fgColor rgb="FF2C9B9F"/>
        <bgColor indexed="64"/>
      </patternFill>
    </fill>
    <fill>
      <patternFill patternType="solid">
        <fgColor rgb="FF1C4257"/>
        <bgColor indexed="64"/>
      </patternFill>
    </fill>
    <fill>
      <patternFill patternType="solid">
        <fgColor rgb="FF4F6C3B"/>
        <bgColor indexed="64"/>
      </patternFill>
    </fill>
    <fill>
      <patternFill patternType="solid">
        <fgColor rgb="FF164458"/>
        <bgColor indexed="64"/>
      </patternFill>
    </fill>
    <fill>
      <patternFill patternType="solid">
        <fgColor rgb="FF4C673C"/>
        <bgColor indexed="64"/>
      </patternFill>
    </fill>
    <fill>
      <patternFill patternType="solid">
        <fgColor rgb="FF609A31"/>
        <bgColor indexed="64"/>
      </patternFill>
    </fill>
    <fill>
      <patternFill patternType="solid">
        <fgColor rgb="FF1A2836"/>
        <bgColor indexed="64"/>
      </patternFill>
    </fill>
    <fill>
      <patternFill patternType="solid">
        <fgColor rgb="FF2C4D56"/>
        <bgColor indexed="64"/>
      </patternFill>
    </fill>
    <fill>
      <patternFill patternType="solid">
        <fgColor rgb="FF80644B"/>
        <bgColor indexed="64"/>
      </patternFill>
    </fill>
    <fill>
      <patternFill patternType="solid">
        <fgColor rgb="FF2B4956"/>
        <bgColor indexed="64"/>
      </patternFill>
    </fill>
    <fill>
      <patternFill patternType="solid">
        <fgColor rgb="FF826649"/>
        <bgColor indexed="64"/>
      </patternFill>
    </fill>
    <fill>
      <patternFill patternType="solid">
        <fgColor rgb="FF184857"/>
        <bgColor indexed="64"/>
      </patternFill>
    </fill>
    <fill>
      <patternFill patternType="solid">
        <fgColor rgb="FF1E4557"/>
        <bgColor indexed="64"/>
      </patternFill>
    </fill>
    <fill>
      <patternFill patternType="solid">
        <fgColor rgb="FF297E7B"/>
        <bgColor indexed="64"/>
      </patternFill>
    </fill>
    <fill>
      <patternFill patternType="solid">
        <fgColor rgb="FF115177"/>
        <bgColor indexed="64"/>
      </patternFill>
    </fill>
    <fill>
      <patternFill patternType="solid">
        <fgColor rgb="FF2699A5"/>
        <bgColor indexed="64"/>
      </patternFill>
    </fill>
    <fill>
      <patternFill patternType="solid">
        <fgColor rgb="FF1F5157"/>
        <bgColor indexed="64"/>
      </patternFill>
    </fill>
    <fill>
      <patternFill patternType="solid">
        <fgColor rgb="FF659A31"/>
        <bgColor indexed="64"/>
      </patternFill>
    </fill>
    <fill>
      <patternFill patternType="solid">
        <fgColor rgb="FF48A229"/>
        <bgColor indexed="64"/>
      </patternFill>
    </fill>
    <fill>
      <patternFill patternType="solid">
        <fgColor rgb="FF619A31"/>
        <bgColor indexed="64"/>
      </patternFill>
    </fill>
    <fill>
      <patternFill patternType="solid">
        <fgColor rgb="FF5F9437"/>
        <bgColor indexed="64"/>
      </patternFill>
    </fill>
    <fill>
      <patternFill patternType="solid">
        <fgColor rgb="FF639A31"/>
        <bgColor indexed="64"/>
      </patternFill>
    </fill>
    <fill>
      <patternFill patternType="solid">
        <fgColor rgb="FF516034"/>
        <bgColor indexed="64"/>
      </patternFill>
    </fill>
    <fill>
      <patternFill patternType="solid">
        <fgColor rgb="FF515939"/>
        <bgColor indexed="64"/>
      </patternFill>
    </fill>
    <fill>
      <patternFill patternType="solid">
        <fgColor rgb="FF124F5D"/>
        <bgColor indexed="64"/>
      </patternFill>
    </fill>
    <fill>
      <patternFill patternType="solid">
        <fgColor rgb="FF4D6938"/>
        <bgColor indexed="64"/>
      </patternFill>
    </fill>
    <fill>
      <patternFill patternType="solid">
        <fgColor rgb="FF4F6A45"/>
        <bgColor indexed="64"/>
      </patternFill>
    </fill>
    <fill>
      <patternFill patternType="solid">
        <fgColor rgb="FF517138"/>
        <bgColor indexed="64"/>
      </patternFill>
    </fill>
    <fill>
      <patternFill patternType="solid">
        <fgColor rgb="FF5F8142"/>
        <bgColor indexed="64"/>
      </patternFill>
    </fill>
    <fill>
      <patternFill patternType="solid">
        <fgColor rgb="FF669D2E"/>
        <bgColor indexed="64"/>
      </patternFill>
    </fill>
    <fill>
      <patternFill patternType="solid">
        <fgColor rgb="FF507E2C"/>
        <bgColor indexed="64"/>
      </patternFill>
    </fill>
    <fill>
      <patternFill patternType="solid">
        <fgColor rgb="FF60853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9437"/>
        <bgColor indexed="64"/>
      </patternFill>
    </fill>
    <fill>
      <patternFill patternType="solid">
        <fgColor rgb="FF669932"/>
        <bgColor indexed="64"/>
      </patternFill>
    </fill>
    <fill>
      <patternFill patternType="solid">
        <fgColor rgb="FF639B30"/>
        <bgColor indexed="64"/>
      </patternFill>
    </fill>
    <fill>
      <patternFill patternType="solid">
        <fgColor rgb="FF4D6936"/>
        <bgColor indexed="64"/>
      </patternFill>
    </fill>
    <fill>
      <patternFill patternType="solid">
        <fgColor rgb="FF333E56"/>
        <bgColor indexed="64"/>
      </patternFill>
    </fill>
    <fill>
      <patternFill patternType="solid">
        <fgColor rgb="FF4B7069"/>
        <bgColor indexed="64"/>
      </patternFill>
    </fill>
    <fill>
      <patternFill patternType="solid">
        <fgColor rgb="FF497068"/>
        <bgColor indexed="64"/>
      </patternFill>
    </fill>
    <fill>
      <patternFill patternType="solid">
        <fgColor rgb="FF45867C"/>
        <bgColor indexed="64"/>
      </patternFill>
    </fill>
    <fill>
      <patternFill patternType="solid">
        <fgColor rgb="FF428982"/>
        <bgColor indexed="64"/>
      </patternFill>
    </fill>
    <fill>
      <patternFill patternType="solid">
        <fgColor rgb="FF428984"/>
        <bgColor indexed="64"/>
      </patternFill>
    </fill>
    <fill>
      <patternFill patternType="solid">
        <fgColor rgb="FF45867E"/>
        <bgColor indexed="64"/>
      </patternFill>
    </fill>
    <fill>
      <patternFill patternType="solid">
        <fgColor rgb="FF4A8175"/>
        <bgColor indexed="64"/>
      </patternFill>
    </fill>
    <fill>
      <patternFill patternType="solid">
        <fgColor rgb="FF203859"/>
        <bgColor indexed="64"/>
      </patternFill>
    </fill>
    <fill>
      <patternFill patternType="solid">
        <fgColor rgb="FF4B8071"/>
        <bgColor indexed="64"/>
      </patternFill>
    </fill>
    <fill>
      <patternFill patternType="solid">
        <fgColor rgb="FF28A397"/>
        <bgColor indexed="64"/>
      </patternFill>
    </fill>
    <fill>
      <patternFill patternType="solid">
        <fgColor rgb="FF6C6948"/>
        <bgColor indexed="64"/>
      </patternFill>
    </fill>
    <fill>
      <patternFill patternType="solid">
        <fgColor rgb="FF467161"/>
        <bgColor indexed="64"/>
      </patternFill>
    </fill>
    <fill>
      <patternFill patternType="solid">
        <fgColor rgb="FF589B30"/>
        <bgColor indexed="64"/>
      </patternFill>
    </fill>
    <fill>
      <patternFill patternType="solid">
        <fgColor rgb="FF4EA12A"/>
        <bgColor indexed="64"/>
      </patternFill>
    </fill>
    <fill>
      <patternFill patternType="solid">
        <fgColor rgb="FF639E2D"/>
        <bgColor indexed="64"/>
      </patternFill>
    </fill>
    <fill>
      <patternFill patternType="solid">
        <fgColor rgb="FF4DA328"/>
        <bgColor indexed="64"/>
      </patternFill>
    </fill>
    <fill>
      <patternFill patternType="solid">
        <fgColor rgb="FF4E7229"/>
        <bgColor indexed="64"/>
      </patternFill>
    </fill>
    <fill>
      <patternFill patternType="solid">
        <fgColor rgb="FF4C672E"/>
        <bgColor indexed="64"/>
      </patternFill>
    </fill>
    <fill>
      <patternFill patternType="solid">
        <fgColor rgb="FF5D9536"/>
        <bgColor indexed="64"/>
      </patternFill>
    </fill>
    <fill>
      <patternFill patternType="solid">
        <fgColor rgb="FF4F5B35"/>
        <bgColor indexed="64"/>
      </patternFill>
    </fill>
    <fill>
      <patternFill patternType="solid">
        <fgColor rgb="FF2C9F95"/>
        <bgColor indexed="64"/>
      </patternFill>
    </fill>
    <fill>
      <patternFill patternType="solid">
        <fgColor rgb="FF1E5557"/>
        <bgColor indexed="64"/>
      </patternFill>
    </fill>
    <fill>
      <patternFill patternType="solid">
        <fgColor rgb="FF319A99"/>
        <bgColor indexed="64"/>
      </patternFill>
    </fill>
    <fill>
      <patternFill patternType="solid">
        <fgColor rgb="FF165266"/>
        <bgColor indexed="64"/>
      </patternFill>
    </fill>
    <fill>
      <patternFill patternType="solid">
        <fgColor rgb="FF1AA7B1"/>
        <bgColor indexed="64"/>
      </patternFill>
    </fill>
    <fill>
      <patternFill patternType="solid">
        <fgColor rgb="FF4E6830"/>
        <bgColor indexed="64"/>
      </patternFill>
    </fill>
    <fill>
      <patternFill patternType="solid">
        <fgColor rgb="FF5F7D37"/>
        <bgColor indexed="64"/>
      </patternFill>
    </fill>
    <fill>
      <patternFill patternType="solid">
        <fgColor rgb="FF29A295"/>
        <bgColor indexed="64"/>
      </patternFill>
    </fill>
    <fill>
      <patternFill patternType="solid">
        <fgColor rgb="FFED0A3F"/>
        <bgColor indexed="64"/>
      </patternFill>
    </fill>
    <fill>
      <patternFill patternType="solid">
        <fgColor rgb="FFC32148"/>
        <bgColor indexed="64"/>
      </patternFill>
    </fill>
    <fill>
      <patternFill patternType="solid">
        <fgColor rgb="FFFD0E35"/>
        <bgColor indexed="64"/>
      </patternFill>
    </fill>
    <fill>
      <patternFill patternType="solid">
        <fgColor rgb="FFC62D42"/>
        <bgColor indexed="64"/>
      </patternFill>
    </fill>
    <fill>
      <patternFill patternType="solid">
        <fgColor rgb="FFB94E48"/>
        <bgColor indexed="64"/>
      </patternFill>
    </fill>
    <fill>
      <patternFill patternType="solid">
        <fgColor rgb="FFFF5349"/>
        <bgColor indexed="64"/>
      </patternFill>
    </fill>
    <fill>
      <patternFill patternType="solid">
        <fgColor rgb="FFFE4C40"/>
        <bgColor indexed="64"/>
      </patternFill>
    </fill>
    <fill>
      <patternFill patternType="solid">
        <fgColor rgb="FFFE6F5E"/>
        <bgColor indexed="64"/>
      </patternFill>
    </fill>
    <fill>
      <patternFill patternType="solid">
        <fgColor rgb="FFFF9980"/>
        <bgColor indexed="64"/>
      </patternFill>
    </fill>
    <fill>
      <patternFill patternType="solid">
        <fgColor rgb="FFFF7034"/>
        <bgColor indexed="64"/>
      </patternFill>
    </fill>
    <fill>
      <patternFill patternType="solid">
        <fgColor rgb="FFFF681F"/>
        <bgColor indexed="64"/>
      </patternFill>
    </fill>
    <fill>
      <patternFill patternType="solid">
        <fgColor rgb="FFFF8833"/>
        <bgColor indexed="64"/>
      </patternFill>
    </fill>
    <fill>
      <patternFill patternType="solid">
        <fgColor rgb="FFFFB97B"/>
        <bgColor indexed="64"/>
      </patternFill>
    </fill>
    <fill>
      <patternFill patternType="solid">
        <fgColor rgb="FFE77200"/>
        <bgColor indexed="64"/>
      </patternFill>
    </fill>
    <fill>
      <patternFill patternType="solid">
        <fgColor rgb="FFFFAE42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7A89B8"/>
        <bgColor indexed="64"/>
      </patternFill>
    </fill>
    <fill>
      <patternFill patternType="solid">
        <fgColor rgb="FFFBE870"/>
        <bgColor indexed="64"/>
      </patternFill>
    </fill>
    <fill>
      <patternFill patternType="solid">
        <fgColor rgb="FF0095B7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5FA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FE313"/>
        <bgColor indexed="64"/>
      </patternFill>
    </fill>
    <fill>
      <patternFill patternType="solid">
        <fgColor rgb="FF1CAC78"/>
        <bgColor indexed="64"/>
      </patternFill>
    </fill>
    <fill>
      <patternFill patternType="solid">
        <fgColor rgb="FF7BA05B"/>
        <bgColor indexed="64"/>
      </patternFill>
    </fill>
    <fill>
      <patternFill patternType="solid">
        <fgColor rgb="FF9DE093"/>
        <bgColor indexed="64"/>
      </patternFill>
    </fill>
    <fill>
      <patternFill patternType="solid">
        <fgColor rgb="FF63B76C"/>
        <bgColor indexed="64"/>
      </patternFill>
    </fill>
    <fill>
      <patternFill patternType="solid">
        <fgColor rgb="FFF1E788"/>
        <bgColor indexed="64"/>
      </patternFill>
    </fill>
    <fill>
      <patternFill patternType="solid">
        <fgColor rgb="FF29AB87"/>
        <bgColor indexed="64"/>
      </patternFill>
    </fill>
    <fill>
      <patternFill patternType="solid">
        <fgColor rgb="FFB5B35C"/>
        <bgColor indexed="64"/>
      </patternFill>
    </fill>
    <fill>
      <patternFill patternType="solid">
        <fgColor rgb="FF33CC99"/>
        <bgColor indexed="64"/>
      </patternFill>
    </fill>
    <fill>
      <patternFill patternType="solid">
        <fgColor rgb="FF1AB385"/>
        <bgColor indexed="64"/>
      </patternFill>
    </fill>
    <fill>
      <patternFill patternType="solid">
        <fgColor rgb="FF01786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755E"/>
        <bgColor indexed="64"/>
      </patternFill>
    </fill>
    <fill>
      <patternFill patternType="solid">
        <fgColor rgb="FF93DFB8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95EDE8"/>
        <bgColor indexed="64"/>
      </patternFill>
    </fill>
    <fill>
      <patternFill patternType="solid">
        <fgColor rgb="FF6CDAE7"/>
        <bgColor indexed="64"/>
      </patternFill>
    </fill>
    <fill>
      <patternFill patternType="solid">
        <fgColor rgb="FF2D383A"/>
        <bgColor indexed="64"/>
      </patternFill>
    </fill>
    <fill>
      <patternFill patternType="solid">
        <fgColor rgb="FF76D7EA"/>
        <bgColor indexed="64"/>
      </patternFill>
    </fill>
    <fill>
      <patternFill patternType="solid">
        <fgColor rgb="FFECEBBD"/>
        <bgColor indexed="64"/>
      </patternFill>
    </fill>
    <fill>
      <patternFill patternType="solid">
        <fgColor rgb="FF009DC4"/>
        <bgColor indexed="64"/>
      </patternFill>
    </fill>
    <fill>
      <patternFill patternType="solid">
        <fgColor rgb="FF02A4D3"/>
        <bgColor indexed="64"/>
      </patternFill>
    </fill>
    <fill>
      <patternFill patternType="solid">
        <fgColor rgb="FF93CCEA"/>
        <bgColor indexed="64"/>
      </patternFill>
    </fill>
    <fill>
      <patternFill patternType="solid">
        <fgColor rgb="FF00468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BAED2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CD667"/>
        <bgColor indexed="64"/>
      </patternFill>
    </fill>
    <fill>
      <patternFill patternType="solid">
        <fgColor rgb="FFC3CDE6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EDC9AF"/>
        <bgColor indexed="64"/>
      </patternFill>
    </fill>
    <fill>
      <patternFill patternType="solid">
        <fgColor rgb="FF4F69C6"/>
        <bgColor indexed="64"/>
      </patternFill>
    </fill>
    <fill>
      <patternFill patternType="solid">
        <fgColor rgb="FF8D90A1"/>
        <bgColor indexed="64"/>
      </patternFill>
    </fill>
    <fill>
      <patternFill patternType="solid">
        <fgColor rgb="FF9999CC"/>
        <bgColor indexed="64"/>
      </patternFill>
    </fill>
    <fill>
      <patternFill patternType="solid">
        <fgColor rgb="FF6456B7"/>
        <bgColor indexed="64"/>
      </patternFill>
    </fill>
    <fill>
      <patternFill patternType="solid">
        <fgColor rgb="FF652DC1"/>
        <bgColor indexed="64"/>
      </patternFill>
    </fill>
    <fill>
      <patternFill patternType="solid">
        <fgColor rgb="FF6B3FA0"/>
        <bgColor indexed="64"/>
      </patternFill>
    </fill>
    <fill>
      <patternFill patternType="solid">
        <fgColor rgb="FF8359A3"/>
        <bgColor indexed="64"/>
      </patternFill>
    </fill>
    <fill>
      <patternFill patternType="solid">
        <fgColor rgb="FFC9A0DC"/>
        <bgColor indexed="64"/>
      </patternFill>
    </fill>
    <fill>
      <patternFill patternType="solid">
        <fgColor rgb="FF803790"/>
        <bgColor indexed="64"/>
      </patternFill>
    </fill>
    <fill>
      <patternFill patternType="solid">
        <fgColor rgb="FFD6AEDD"/>
        <bgColor indexed="64"/>
      </patternFill>
    </fill>
    <fill>
      <patternFill patternType="solid">
        <fgColor rgb="FFC154C1"/>
        <bgColor indexed="64"/>
      </patternFill>
    </fill>
    <fill>
      <patternFill patternType="solid">
        <fgColor rgb="FFFC74FD"/>
        <bgColor indexed="64"/>
      </patternFill>
    </fill>
    <fill>
      <patternFill patternType="solid">
        <fgColor rgb="FFE29CD2"/>
        <bgColor indexed="64"/>
      </patternFill>
    </fill>
    <fill>
      <patternFill patternType="solid">
        <fgColor rgb="FF8E3179"/>
        <bgColor indexed="64"/>
      </patternFill>
    </fill>
    <fill>
      <patternFill patternType="solid">
        <fgColor rgb="FFBB3385"/>
        <bgColor indexed="64"/>
      </patternFill>
    </fill>
    <fill>
      <patternFill patternType="solid">
        <fgColor rgb="FFA50B5E"/>
        <bgColor indexed="64"/>
      </patternFill>
    </fill>
    <fill>
      <patternFill patternType="solid">
        <fgColor rgb="FF614051"/>
        <bgColor indexed="64"/>
      </patternFill>
    </fill>
    <fill>
      <patternFill patternType="solid">
        <fgColor rgb="FFF653A6"/>
        <bgColor indexed="64"/>
      </patternFill>
    </fill>
    <fill>
      <patternFill patternType="solid">
        <fgColor rgb="FFDA3287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1560BD"/>
        <bgColor indexed="64"/>
      </patternFill>
    </fill>
    <fill>
      <patternFill patternType="solid">
        <fgColor rgb="FFFFB7D5"/>
        <bgColor indexed="64"/>
      </patternFill>
    </fill>
    <fill>
      <patternFill patternType="solid">
        <fgColor rgb="FFFFA6C9"/>
        <bgColor indexed="64"/>
      </patternFill>
    </fill>
    <fill>
      <patternFill patternType="solid">
        <fgColor rgb="FFF7468A"/>
        <bgColor indexed="64"/>
      </patternFill>
    </fill>
    <fill>
      <patternFill patternType="solid">
        <fgColor rgb="FFE30B5C"/>
        <bgColor indexed="64"/>
      </patternFill>
    </fill>
    <fill>
      <patternFill patternType="solid">
        <fgColor rgb="FFDB5079"/>
        <bgColor indexed="64"/>
      </patternFill>
    </fill>
    <fill>
      <patternFill patternType="solid">
        <fgColor rgb="FFFC80A5"/>
        <bgColor indexed="64"/>
      </patternFill>
    </fill>
    <fill>
      <patternFill patternType="solid">
        <fgColor rgb="FFF091A9"/>
        <bgColor indexed="64"/>
      </patternFill>
    </fill>
    <fill>
      <patternFill patternType="solid">
        <fgColor rgb="FFFF91A4"/>
        <bgColor indexed="64"/>
      </patternFill>
    </fill>
    <fill>
      <patternFill patternType="solid">
        <fgColor rgb="FFCA3435"/>
        <bgColor indexed="64"/>
      </patternFill>
    </fill>
    <fill>
      <patternFill patternType="solid">
        <fgColor rgb="FFFEBAAD"/>
        <bgColor indexed="64"/>
      </patternFill>
    </fill>
    <fill>
      <patternFill patternType="solid">
        <fgColor rgb="FFF7A38E"/>
        <bgColor indexed="64"/>
      </patternFill>
    </fill>
    <fill>
      <patternFill patternType="solid">
        <fgColor rgb="FFE97451"/>
        <bgColor indexed="64"/>
      </patternFill>
    </fill>
    <fill>
      <patternFill patternType="solid">
        <fgColor rgb="FFAF593E"/>
        <bgColor indexed="64"/>
      </patternFill>
    </fill>
    <fill>
      <patternFill patternType="solid">
        <fgColor rgb="FF9E5B40"/>
        <bgColor indexed="64"/>
      </patternFill>
    </fill>
    <fill>
      <patternFill patternType="solid">
        <fgColor rgb="FF87421F"/>
        <bgColor indexed="64"/>
      </patternFill>
    </fill>
    <fill>
      <patternFill patternType="solid">
        <fgColor rgb="FF926F5B"/>
        <bgColor indexed="64"/>
      </patternFill>
    </fill>
    <fill>
      <patternFill patternType="solid">
        <fgColor rgb="FFDEA681"/>
        <bgColor indexed="64"/>
      </patternFill>
    </fill>
    <fill>
      <patternFill patternType="solid">
        <fgColor rgb="FFD27D46"/>
        <bgColor indexed="64"/>
      </patternFill>
    </fill>
    <fill>
      <patternFill patternType="solid">
        <fgColor rgb="FFD49A6C"/>
        <bgColor indexed="64"/>
      </patternFill>
    </fill>
    <fill>
      <patternFill patternType="solid">
        <fgColor rgb="FFA9B2C3"/>
        <bgColor indexed="64"/>
      </patternFill>
    </fill>
    <fill>
      <patternFill patternType="solid">
        <fgColor rgb="FFFFCBA4"/>
        <bgColor indexed="64"/>
      </patternFill>
    </fill>
    <fill>
      <patternFill patternType="solid">
        <fgColor rgb="FFFDD5B1"/>
        <bgColor indexed="64"/>
      </patternFill>
    </fill>
    <fill>
      <patternFill patternType="solid">
        <fgColor rgb="FFEED9C4"/>
        <bgColor indexed="64"/>
      </patternFill>
    </fill>
    <fill>
      <patternFill patternType="solid">
        <fgColor rgb="FF837050"/>
        <bgColor indexed="64"/>
      </patternFill>
    </fill>
    <fill>
      <patternFill patternType="solid">
        <fgColor rgb="FFD9D6CF"/>
        <bgColor indexed="64"/>
      </patternFill>
    </fill>
    <fill>
      <patternFill patternType="solid">
        <fgColor rgb="FFE6BE8A"/>
        <bgColor indexed="64"/>
      </patternFill>
    </fill>
    <fill>
      <patternFill patternType="solid">
        <fgColor rgb="FFC9C0BB"/>
        <bgColor indexed="64"/>
      </patternFill>
    </fill>
    <fill>
      <patternFill patternType="solid">
        <fgColor rgb="FFDA8A67"/>
        <bgColor indexed="64"/>
      </patternFill>
    </fill>
    <fill>
      <patternFill patternType="solid">
        <fgColor rgb="FFC88A65"/>
        <bgColor indexed="64"/>
      </patternFill>
    </fill>
    <fill>
      <patternFill patternType="solid">
        <fgColor rgb="FF8B86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343"/>
        <bgColor indexed="64"/>
      </patternFill>
    </fill>
    <fill>
      <patternFill patternType="solid">
        <fgColor rgb="FFEE34B2"/>
        <bgColor indexed="64"/>
      </patternFill>
    </fill>
    <fill>
      <patternFill patternType="solid">
        <fgColor rgb="FFFF355E"/>
        <bgColor indexed="64"/>
      </patternFill>
    </fill>
    <fill>
      <patternFill patternType="solid">
        <fgColor rgb="FFFD5B78"/>
        <bgColor indexed="64"/>
      </patternFill>
    </fill>
    <fill>
      <patternFill patternType="solid">
        <fgColor rgb="FFFF6037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3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5E17A"/>
        <bgColor indexed="64"/>
      </patternFill>
    </fill>
    <fill>
      <patternFill patternType="solid">
        <fgColor rgb="FFFF6EFF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699338"/>
        <bgColor indexed="64"/>
      </patternFill>
    </fill>
    <fill>
      <patternFill patternType="solid">
        <fgColor rgb="FF337060"/>
        <bgColor indexed="64"/>
      </patternFill>
    </fill>
    <fill>
      <patternFill patternType="solid">
        <fgColor rgb="FF1F5156"/>
        <bgColor indexed="64"/>
      </patternFill>
    </fill>
    <fill>
      <patternFill patternType="solid">
        <fgColor rgb="FF5E7E36"/>
        <bgColor indexed="64"/>
      </patternFill>
    </fill>
    <fill>
      <patternFill patternType="solid">
        <fgColor rgb="FF649E2D"/>
        <bgColor indexed="64"/>
      </patternFill>
    </fill>
    <fill>
      <patternFill patternType="solid">
        <fgColor rgb="FF4A817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318">
    <xf numFmtId="0" fontId="0" fillId="0" borderId="0" xfId="0"/>
    <xf numFmtId="0" fontId="0" fillId="43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3" fillId="0" borderId="0" xfId="1"/>
    <xf numFmtId="0" fontId="1" fillId="0" borderId="0" xfId="0" applyFont="1"/>
    <xf numFmtId="49" fontId="1" fillId="0" borderId="0" xfId="0" applyNumberFormat="1" applyFont="1"/>
    <xf numFmtId="0" fontId="1" fillId="0" borderId="0" xfId="0" applyNumberFormat="1" applyFont="1"/>
    <xf numFmtId="0" fontId="1" fillId="0" borderId="0" xfId="0" applyFont="1" applyAlignment="1">
      <alignment wrapText="1"/>
    </xf>
    <xf numFmtId="49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left" vertical="center"/>
    </xf>
    <xf numFmtId="0" fontId="1" fillId="2" borderId="0" xfId="0" applyFont="1" applyFill="1"/>
    <xf numFmtId="0" fontId="1" fillId="0" borderId="0" xfId="0" applyFont="1" applyFill="1"/>
    <xf numFmtId="0" fontId="1" fillId="105" borderId="0" xfId="0" applyNumberFormat="1" applyFont="1" applyFill="1"/>
    <xf numFmtId="0" fontId="1" fillId="0" borderId="0" xfId="0" quotePrefix="1" applyNumberFormat="1" applyFont="1" applyFill="1"/>
    <xf numFmtId="0" fontId="1" fillId="2" borderId="0" xfId="0" applyFont="1" applyFill="1" applyBorder="1"/>
    <xf numFmtId="0" fontId="1" fillId="105" borderId="0" xfId="0" applyFont="1" applyFill="1" applyBorder="1"/>
    <xf numFmtId="0" fontId="1" fillId="0" borderId="0" xfId="0" applyFont="1" applyBorder="1"/>
    <xf numFmtId="0" fontId="1" fillId="12" borderId="0" xfId="0" applyFont="1" applyFill="1" applyBorder="1"/>
    <xf numFmtId="0" fontId="1" fillId="117" borderId="0" xfId="0" applyFont="1" applyFill="1" applyBorder="1"/>
    <xf numFmtId="0" fontId="1" fillId="24" borderId="0" xfId="0" applyFont="1" applyFill="1" applyBorder="1"/>
    <xf numFmtId="0" fontId="1" fillId="114" borderId="0" xfId="0" applyFont="1" applyFill="1" applyBorder="1"/>
    <xf numFmtId="0" fontId="1" fillId="58" borderId="0" xfId="0" applyFont="1" applyFill="1" applyBorder="1"/>
    <xf numFmtId="0" fontId="1" fillId="3" borderId="0" xfId="0" applyFont="1" applyFill="1"/>
    <xf numFmtId="0" fontId="1" fillId="111" borderId="0" xfId="0" applyNumberFormat="1" applyFont="1" applyFill="1"/>
    <xf numFmtId="0" fontId="1" fillId="0" borderId="0" xfId="0" applyNumberFormat="1" applyFont="1" applyFill="1"/>
    <xf numFmtId="0" fontId="1" fillId="3" borderId="0" xfId="0" applyFont="1" applyFill="1" applyBorder="1"/>
    <xf numFmtId="0" fontId="1" fillId="111" borderId="0" xfId="0" applyFont="1" applyFill="1" applyBorder="1"/>
    <xf numFmtId="0" fontId="1" fillId="13" borderId="0" xfId="0" applyFont="1" applyFill="1" applyBorder="1"/>
    <xf numFmtId="0" fontId="1" fillId="175" borderId="0" xfId="0" applyFont="1" applyFill="1" applyBorder="1"/>
    <xf numFmtId="0" fontId="1" fillId="25" borderId="0" xfId="0" applyFont="1" applyFill="1" applyBorder="1"/>
    <xf numFmtId="0" fontId="1" fillId="123" borderId="0" xfId="0" applyFont="1" applyFill="1" applyBorder="1"/>
    <xf numFmtId="0" fontId="1" fillId="59" borderId="0" xfId="0" applyFont="1" applyFill="1" applyBorder="1"/>
    <xf numFmtId="0" fontId="1" fillId="14" borderId="0" xfId="0" applyFont="1" applyFill="1" applyBorder="1"/>
    <xf numFmtId="0" fontId="1" fillId="26" borderId="0" xfId="0" applyFont="1" applyFill="1" applyBorder="1"/>
    <xf numFmtId="0" fontId="1" fillId="95" borderId="0" xfId="0" applyFont="1" applyFill="1" applyBorder="1"/>
    <xf numFmtId="0" fontId="1" fillId="60" borderId="0" xfId="0" applyFont="1" applyFill="1" applyBorder="1"/>
    <xf numFmtId="0" fontId="1" fillId="4" borderId="0" xfId="0" applyFont="1" applyFill="1"/>
    <xf numFmtId="0" fontId="1" fillId="120" borderId="0" xfId="0" applyNumberFormat="1" applyFont="1" applyFill="1"/>
    <xf numFmtId="0" fontId="1" fillId="4" borderId="0" xfId="0" applyFont="1" applyFill="1" applyBorder="1"/>
    <xf numFmtId="0" fontId="1" fillId="120" borderId="0" xfId="0" applyFont="1" applyFill="1" applyBorder="1"/>
    <xf numFmtId="0" fontId="1" fillId="15" borderId="0" xfId="0" applyFont="1" applyFill="1" applyBorder="1"/>
    <xf numFmtId="0" fontId="1" fillId="27" borderId="0" xfId="0" applyFont="1" applyFill="1" applyBorder="1"/>
    <xf numFmtId="0" fontId="1" fillId="61" borderId="0" xfId="0" applyFont="1" applyFill="1" applyBorder="1"/>
    <xf numFmtId="0" fontId="1" fillId="5" borderId="0" xfId="0" applyFont="1" applyFill="1"/>
    <xf numFmtId="0" fontId="1" fillId="5" borderId="0" xfId="0" applyFont="1" applyFill="1" applyBorder="1"/>
    <xf numFmtId="0" fontId="1" fillId="16" borderId="0" xfId="0" applyFont="1" applyFill="1" applyBorder="1"/>
    <xf numFmtId="0" fontId="1" fillId="101" borderId="0" xfId="0" applyFont="1" applyFill="1" applyBorder="1"/>
    <xf numFmtId="0" fontId="1" fillId="28" borderId="0" xfId="0" applyFont="1" applyFill="1" applyBorder="1"/>
    <xf numFmtId="0" fontId="1" fillId="62" borderId="0" xfId="0" applyFont="1" applyFill="1" applyBorder="1"/>
    <xf numFmtId="0" fontId="1" fillId="6" borderId="0" xfId="0" applyFont="1" applyFill="1"/>
    <xf numFmtId="0" fontId="1" fillId="95" borderId="0" xfId="0" applyNumberFormat="1" applyFont="1" applyFill="1"/>
    <xf numFmtId="0" fontId="1" fillId="6" borderId="0" xfId="0" applyFont="1" applyFill="1" applyBorder="1"/>
    <xf numFmtId="0" fontId="1" fillId="17" borderId="0" xfId="0" applyFont="1" applyFill="1" applyBorder="1"/>
    <xf numFmtId="0" fontId="1" fillId="29" borderId="0" xfId="0" applyFont="1" applyFill="1" applyBorder="1"/>
    <xf numFmtId="0" fontId="1" fillId="63" borderId="0" xfId="0" applyFont="1" applyFill="1" applyBorder="1"/>
    <xf numFmtId="0" fontId="1" fillId="7" borderId="0" xfId="0" applyFont="1" applyFill="1"/>
    <xf numFmtId="0" fontId="1" fillId="7" borderId="0" xfId="0" applyFont="1" applyFill="1" applyBorder="1"/>
    <xf numFmtId="0" fontId="1" fillId="18" borderId="0" xfId="0" applyFont="1" applyFill="1" applyBorder="1"/>
    <xf numFmtId="0" fontId="1" fillId="30" borderId="0" xfId="0" applyFont="1" applyFill="1" applyBorder="1"/>
    <xf numFmtId="0" fontId="1" fillId="64" borderId="0" xfId="0" applyFont="1" applyFill="1" applyBorder="1"/>
    <xf numFmtId="0" fontId="1" fillId="8" borderId="0" xfId="0" applyFont="1" applyFill="1"/>
    <xf numFmtId="0" fontId="1" fillId="8" borderId="0" xfId="0" applyFont="1" applyFill="1" applyBorder="1"/>
    <xf numFmtId="0" fontId="1" fillId="19" borderId="0" xfId="0" applyFont="1" applyFill="1" applyBorder="1"/>
    <xf numFmtId="0" fontId="1" fillId="31" borderId="0" xfId="0" applyFont="1" applyFill="1" applyBorder="1"/>
    <xf numFmtId="0" fontId="1" fillId="9" borderId="0" xfId="0" applyFont="1" applyFill="1"/>
    <xf numFmtId="0" fontId="1" fillId="9" borderId="0" xfId="0" applyFont="1" applyFill="1" applyBorder="1"/>
    <xf numFmtId="0" fontId="1" fillId="20" borderId="0" xfId="0" applyFont="1" applyFill="1" applyBorder="1"/>
    <xf numFmtId="0" fontId="1" fillId="32" borderId="0" xfId="0" applyFont="1" applyFill="1" applyBorder="1"/>
    <xf numFmtId="0" fontId="1" fillId="65" borderId="0" xfId="0" applyFont="1" applyFill="1" applyBorder="1"/>
    <xf numFmtId="0" fontId="1" fillId="21" borderId="0" xfId="0" applyFont="1" applyFill="1" applyBorder="1"/>
    <xf numFmtId="0" fontId="1" fillId="33" borderId="0" xfId="0" applyFont="1" applyFill="1" applyBorder="1"/>
    <xf numFmtId="0" fontId="1" fillId="147" borderId="0" xfId="0" applyFont="1" applyFill="1" applyBorder="1"/>
    <xf numFmtId="0" fontId="1" fillId="66" borderId="0" xfId="0" applyFont="1" applyFill="1" applyBorder="1"/>
    <xf numFmtId="0" fontId="1" fillId="10" borderId="0" xfId="0" applyFont="1" applyFill="1"/>
    <xf numFmtId="0" fontId="1" fillId="117" borderId="0" xfId="0" applyNumberFormat="1" applyFont="1" applyFill="1"/>
    <xf numFmtId="0" fontId="1" fillId="10" borderId="0" xfId="0" applyFont="1" applyFill="1" applyBorder="1"/>
    <xf numFmtId="0" fontId="1" fillId="22" borderId="0" xfId="0" applyFont="1" applyFill="1" applyBorder="1"/>
    <xf numFmtId="0" fontId="1" fillId="34" borderId="0" xfId="0" applyFont="1" applyFill="1" applyBorder="1"/>
    <xf numFmtId="0" fontId="1" fillId="67" borderId="0" xfId="0" applyFont="1" applyFill="1" applyBorder="1"/>
    <xf numFmtId="0" fontId="1" fillId="11" borderId="0" xfId="0" applyFont="1" applyFill="1"/>
    <xf numFmtId="0" fontId="1" fillId="11" borderId="0" xfId="0" applyFont="1" applyFill="1" applyBorder="1"/>
    <xf numFmtId="0" fontId="1" fillId="23" borderId="0" xfId="0" applyFont="1" applyFill="1" applyBorder="1"/>
    <xf numFmtId="0" fontId="1" fillId="35" borderId="0" xfId="0" applyFont="1" applyFill="1" applyBorder="1"/>
    <xf numFmtId="0" fontId="1" fillId="68" borderId="0" xfId="0" applyFont="1" applyFill="1" applyBorder="1"/>
    <xf numFmtId="0" fontId="1" fillId="12" borderId="0" xfId="0" applyFont="1" applyFill="1"/>
    <xf numFmtId="0" fontId="1" fillId="13" borderId="0" xfId="0" applyFont="1" applyFill="1"/>
    <xf numFmtId="0" fontId="1" fillId="175" borderId="0" xfId="0" applyNumberFormat="1" applyFont="1" applyFill="1"/>
    <xf numFmtId="0" fontId="1" fillId="14" borderId="0" xfId="0" applyFont="1" applyFill="1"/>
    <xf numFmtId="0" fontId="1" fillId="15" borderId="0" xfId="0" applyFont="1" applyFill="1"/>
    <xf numFmtId="0" fontId="1" fillId="16" borderId="0" xfId="0" applyFont="1" applyFill="1"/>
    <xf numFmtId="0" fontId="1" fillId="101" borderId="0" xfId="0" applyNumberFormat="1" applyFont="1" applyFill="1"/>
    <xf numFmtId="0" fontId="1" fillId="17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20" borderId="0" xfId="0" applyFont="1" applyFill="1"/>
    <xf numFmtId="0" fontId="1" fillId="2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114" borderId="0" xfId="0" applyNumberFormat="1" applyFont="1" applyFill="1"/>
    <xf numFmtId="0" fontId="1" fillId="25" borderId="0" xfId="0" applyFont="1" applyFill="1"/>
    <xf numFmtId="0" fontId="1" fillId="123" borderId="0" xfId="0" applyNumberFormat="1" applyFont="1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147" borderId="0" xfId="0" applyNumberFormat="1" applyFont="1" applyFill="1"/>
    <xf numFmtId="0" fontId="1" fillId="34" borderId="0" xfId="0" applyFont="1" applyFill="1"/>
    <xf numFmtId="0" fontId="1" fillId="35" borderId="0" xfId="0" applyFont="1" applyFill="1"/>
    <xf numFmtId="0" fontId="1" fillId="36" borderId="0" xfId="0" applyFont="1" applyFill="1"/>
    <xf numFmtId="0" fontId="1" fillId="37" borderId="0" xfId="0" applyFont="1" applyFill="1"/>
    <xf numFmtId="0" fontId="1" fillId="38" borderId="0" xfId="0" applyFont="1" applyFill="1"/>
    <xf numFmtId="0" fontId="1" fillId="39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0" borderId="0" xfId="0" applyNumberFormat="1" applyFont="1" applyAlignment="1">
      <alignment horizontal="right"/>
    </xf>
    <xf numFmtId="0" fontId="1" fillId="44" borderId="0" xfId="0" applyFont="1" applyFill="1"/>
    <xf numFmtId="0" fontId="1" fillId="45" borderId="0" xfId="0" applyFont="1" applyFill="1"/>
    <xf numFmtId="0" fontId="1" fillId="46" borderId="0" xfId="0" applyFont="1" applyFill="1"/>
    <xf numFmtId="0" fontId="1" fillId="47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1" borderId="0" xfId="0" applyFont="1" applyFill="1"/>
    <xf numFmtId="0" fontId="1" fillId="97" borderId="0" xfId="0" applyNumberFormat="1" applyFont="1" applyFill="1"/>
    <xf numFmtId="0" fontId="4" fillId="0" borderId="0" xfId="0" applyFont="1" applyAlignment="1">
      <alignment horizontal="left" vertical="center"/>
    </xf>
    <xf numFmtId="0" fontId="1" fillId="52" borderId="0" xfId="0" applyFont="1" applyFill="1"/>
    <xf numFmtId="0" fontId="1" fillId="53" borderId="0" xfId="0" applyFont="1" applyFill="1"/>
    <xf numFmtId="0" fontId="1" fillId="54" borderId="0" xfId="0" applyFont="1" applyFill="1"/>
    <xf numFmtId="0" fontId="1" fillId="55" borderId="0" xfId="0" applyFont="1" applyFill="1"/>
    <xf numFmtId="0" fontId="1" fillId="56" borderId="0" xfId="0" applyFont="1" applyFill="1"/>
    <xf numFmtId="0" fontId="1" fillId="57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60" borderId="0" xfId="0" applyFont="1" applyFill="1"/>
    <xf numFmtId="0" fontId="1" fillId="61" borderId="0" xfId="0" applyFont="1" applyFill="1"/>
    <xf numFmtId="0" fontId="1" fillId="62" borderId="0" xfId="0" applyFont="1" applyFill="1"/>
    <xf numFmtId="0" fontId="1" fillId="63" borderId="0" xfId="0" applyFont="1" applyFill="1"/>
    <xf numFmtId="0" fontId="1" fillId="64" borderId="0" xfId="0" applyFont="1" applyFill="1"/>
    <xf numFmtId="11" fontId="4" fillId="0" borderId="0" xfId="0" applyNumberFormat="1" applyFont="1" applyAlignment="1">
      <alignment horizontal="left" vertical="center"/>
    </xf>
    <xf numFmtId="0" fontId="1" fillId="65" borderId="0" xfId="0" applyFont="1" applyFill="1"/>
    <xf numFmtId="0" fontId="1" fillId="66" borderId="0" xfId="0" applyFont="1" applyFill="1"/>
    <xf numFmtId="0" fontId="1" fillId="67" borderId="0" xfId="0" applyFont="1" applyFill="1"/>
    <xf numFmtId="0" fontId="1" fillId="68" borderId="0" xfId="0" applyFont="1" applyFill="1"/>
    <xf numFmtId="0" fontId="1" fillId="69" borderId="0" xfId="0" applyFont="1" applyFill="1"/>
    <xf numFmtId="0" fontId="1" fillId="70" borderId="0" xfId="0" applyFont="1" applyFill="1"/>
    <xf numFmtId="0" fontId="1" fillId="71" borderId="0" xfId="0" applyFont="1" applyFill="1"/>
    <xf numFmtId="0" fontId="1" fillId="72" borderId="0" xfId="0" applyFont="1" applyFill="1"/>
    <xf numFmtId="0" fontId="1" fillId="73" borderId="0" xfId="0" applyFont="1" applyFill="1"/>
    <xf numFmtId="0" fontId="1" fillId="74" borderId="0" xfId="0" applyFont="1" applyFill="1"/>
    <xf numFmtId="0" fontId="1" fillId="75" borderId="0" xfId="0" applyFont="1" applyFill="1"/>
    <xf numFmtId="0" fontId="1" fillId="76" borderId="0" xfId="0" applyFont="1" applyFill="1"/>
    <xf numFmtId="0" fontId="1" fillId="36" borderId="0" xfId="0" applyFont="1" applyFill="1" applyBorder="1"/>
    <xf numFmtId="0" fontId="1" fillId="37" borderId="0" xfId="0" applyFont="1" applyFill="1" applyBorder="1"/>
    <xf numFmtId="0" fontId="1" fillId="38" borderId="0" xfId="0" applyFont="1" applyFill="1" applyBorder="1"/>
    <xf numFmtId="0" fontId="1" fillId="39" borderId="0" xfId="0" applyFont="1" applyFill="1" applyBorder="1"/>
    <xf numFmtId="0" fontId="1" fillId="40" borderId="0" xfId="0" applyFont="1" applyFill="1" applyBorder="1"/>
    <xf numFmtId="0" fontId="1" fillId="41" borderId="0" xfId="0" applyFont="1" applyFill="1" applyBorder="1"/>
    <xf numFmtId="0" fontId="1" fillId="42" borderId="0" xfId="0" applyFont="1" applyFill="1" applyBorder="1"/>
    <xf numFmtId="0" fontId="1" fillId="44" borderId="0" xfId="0" applyFont="1" applyFill="1" applyBorder="1"/>
    <xf numFmtId="0" fontId="1" fillId="45" borderId="0" xfId="0" applyFont="1" applyFill="1" applyBorder="1"/>
    <xf numFmtId="0" fontId="1" fillId="46" borderId="0" xfId="0" applyFont="1" applyFill="1" applyBorder="1"/>
    <xf numFmtId="0" fontId="1" fillId="47" borderId="0" xfId="0" applyFont="1" applyFill="1" applyBorder="1"/>
    <xf numFmtId="0" fontId="1" fillId="48" borderId="0" xfId="0" applyFont="1" applyFill="1" applyBorder="1"/>
    <xf numFmtId="0" fontId="1" fillId="49" borderId="0" xfId="0" applyFont="1" applyFill="1" applyBorder="1"/>
    <xf numFmtId="0" fontId="1" fillId="50" borderId="0" xfId="0" applyFont="1" applyFill="1" applyBorder="1"/>
    <xf numFmtId="0" fontId="1" fillId="51" borderId="0" xfId="0" applyFont="1" applyFill="1" applyBorder="1"/>
    <xf numFmtId="0" fontId="1" fillId="97" borderId="0" xfId="0" applyFont="1" applyFill="1" applyBorder="1"/>
    <xf numFmtId="0" fontId="1" fillId="52" borderId="0" xfId="0" applyFont="1" applyFill="1" applyBorder="1"/>
    <xf numFmtId="0" fontId="1" fillId="53" borderId="0" xfId="0" applyFont="1" applyFill="1" applyBorder="1"/>
    <xf numFmtId="0" fontId="1" fillId="54" borderId="0" xfId="0" applyFont="1" applyFill="1" applyBorder="1"/>
    <xf numFmtId="0" fontId="1" fillId="55" borderId="0" xfId="0" applyFont="1" applyFill="1" applyBorder="1"/>
    <xf numFmtId="0" fontId="1" fillId="56" borderId="0" xfId="0" applyFont="1" applyFill="1" applyBorder="1"/>
    <xf numFmtId="0" fontId="1" fillId="57" borderId="0" xfId="0" applyFont="1" applyFill="1" applyBorder="1"/>
    <xf numFmtId="0" fontId="1" fillId="69" borderId="0" xfId="0" applyFont="1" applyFill="1" applyBorder="1"/>
    <xf numFmtId="0" fontId="1" fillId="70" borderId="0" xfId="0" applyFont="1" applyFill="1" applyBorder="1"/>
    <xf numFmtId="0" fontId="1" fillId="71" borderId="0" xfId="0" applyFont="1" applyFill="1" applyBorder="1"/>
    <xf numFmtId="0" fontId="1" fillId="72" borderId="0" xfId="0" applyFont="1" applyFill="1" applyBorder="1"/>
    <xf numFmtId="0" fontId="1" fillId="73" borderId="0" xfId="0" applyFont="1" applyFill="1" applyBorder="1"/>
    <xf numFmtId="0" fontId="1" fillId="74" borderId="0" xfId="0" applyFont="1" applyFill="1" applyBorder="1"/>
    <xf numFmtId="0" fontId="1" fillId="75" borderId="0" xfId="0" applyFont="1" applyFill="1" applyBorder="1"/>
    <xf numFmtId="0" fontId="1" fillId="76" borderId="0" xfId="0" applyFont="1" applyFill="1" applyBorder="1"/>
    <xf numFmtId="0" fontId="1" fillId="194" borderId="0" xfId="0" applyFont="1" applyFill="1"/>
    <xf numFmtId="0" fontId="1" fillId="194" borderId="0" xfId="0" applyFont="1" applyFill="1" applyBorder="1"/>
    <xf numFmtId="0" fontId="5" fillId="0" borderId="0" xfId="0" applyFont="1" applyAlignment="1">
      <alignment horizontal="left" vertical="center"/>
    </xf>
    <xf numFmtId="0" fontId="1" fillId="195" borderId="0" xfId="0" applyFont="1" applyFill="1"/>
    <xf numFmtId="0" fontId="1" fillId="195" borderId="0" xfId="0" applyFont="1" applyFill="1" applyBorder="1"/>
    <xf numFmtId="0" fontId="1" fillId="196" borderId="0" xfId="0" applyFont="1" applyFill="1"/>
    <xf numFmtId="0" fontId="1" fillId="196" borderId="0" xfId="0" applyFont="1" applyFill="1" applyBorder="1"/>
    <xf numFmtId="0" fontId="1" fillId="197" borderId="0" xfId="0" applyFont="1" applyFill="1"/>
    <xf numFmtId="0" fontId="1" fillId="197" borderId="0" xfId="0" applyFont="1" applyFill="1" applyBorder="1"/>
    <xf numFmtId="0" fontId="1" fillId="198" borderId="0" xfId="0" applyFont="1" applyFill="1"/>
    <xf numFmtId="0" fontId="1" fillId="198" borderId="0" xfId="0" applyFont="1" applyFill="1" applyBorder="1"/>
    <xf numFmtId="0" fontId="1" fillId="199" borderId="0" xfId="0" applyFont="1" applyFill="1"/>
    <xf numFmtId="0" fontId="1" fillId="199" borderId="0" xfId="0" applyFont="1" applyFill="1" applyBorder="1"/>
    <xf numFmtId="0" fontId="1" fillId="0" borderId="0" xfId="0" applyFont="1" applyBorder="1" applyAlignment="1">
      <alignment horizontal="center" wrapText="1"/>
    </xf>
  </cellXfs>
  <cellStyles count="2">
    <cellStyle name="Normal" xfId="0" builtinId="0"/>
    <cellStyle name="Normal 2" xfId="1" xr:uid="{AA92DDC1-8B07-462F-AEFC-68127E9EDCE6}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</dxfs>
  <tableStyles count="0" defaultTableStyle="TableStyleMedium2" defaultPivotStyle="PivotStyleLight16"/>
  <colors>
    <mruColors>
      <color rgb="FF646464"/>
      <color rgb="FF000000"/>
      <color rgb="FFE5E5E5"/>
      <color rgb="FF818181"/>
      <color rgb="FF14B3B7"/>
      <color rgb="FF145059"/>
      <color rgb="FF2A9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149087</xdr:colOff>
      <xdr:row>1</xdr:row>
      <xdr:rowOff>157370</xdr:rowOff>
    </xdr:from>
    <xdr:to>
      <xdr:col>19</xdr:col>
      <xdr:colOff>74543</xdr:colOff>
      <xdr:row>2</xdr:row>
      <xdr:rowOff>265043</xdr:rowOff>
    </xdr:to>
    <xdr:sp macro="[0]!TableColor" textlink="">
      <xdr:nvSpPr>
        <xdr:cNvPr id="2" name="Rectangle 1">
          <a:extLst>
            <a:ext uri="{FF2B5EF4-FFF2-40B4-BE49-F238E27FC236}">
              <a16:creationId xmlns:a16="http://schemas.microsoft.com/office/drawing/2014/main" id="{701EFC3E-AB99-4C2F-8AA8-61600EB28138}"/>
            </a:ext>
          </a:extLst>
        </xdr:cNvPr>
        <xdr:cNvSpPr/>
      </xdr:nvSpPr>
      <xdr:spPr>
        <a:xfrm>
          <a:off x="10146196" y="347870"/>
          <a:ext cx="1764195" cy="29817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add colors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0DA676-5493-4F55-874B-9DE0E7B9E4A0}" name="BiomeColors" displayName="BiomeColors" ref="C3:P87" totalsRowShown="0" headerRowDxfId="20" dataDxfId="19">
  <autoFilter ref="C3:P87" xr:uid="{ACC4EA31-9508-404F-9AD1-7996D8DBB48C}"/>
  <tableColumns count="14">
    <tableColumn id="1" xr3:uid="{D4760566-AB32-494C-ACA0-DFB23D5874D8}" name="Biome" dataDxfId="18"/>
    <tableColumn id="2" xr3:uid="{9DD181CC-1D8E-4279-B74C-868079DF2D84}" name="Month" dataDxfId="17"/>
    <tableColumn id="3" xr3:uid="{02FE9E9B-219E-4534-A746-C68F72278058}" name="Hexvalue" dataDxfId="16"/>
    <tableColumn id="8" xr3:uid="{FFC27F46-8AD6-40BD-8BA4-FF2BFC65434A}" name="BiomeNum" dataDxfId="15">
      <calculatedColumnFormula>ROUNDUP(MATCH(BiomeColors[[#This Row],[Biome]],$V$3:$AN$3,0)/3,0)</calculatedColumnFormula>
    </tableColumn>
    <tableColumn id="9" xr3:uid="{B0018AF9-A04E-4DF5-9446-FC41F0258F57}" name="MonthNum" dataDxfId="14">
      <calculatedColumnFormula>MATCH(BiomeColors[[#This Row],[Month]],$U$4:$U$15,0)</calculatedColumnFormula>
    </tableColumn>
    <tableColumn id="5" xr3:uid="{6716AE9A-07A7-4617-9BDE-5247D6AD3ECB}" name="R" dataDxfId="13">
      <calculatedColumnFormula>HEX2DEC(MID(BiomeColors[[#This Row],[Hexvalue]],1,2))</calculatedColumnFormula>
    </tableColumn>
    <tableColumn id="6" xr3:uid="{FF86AAFE-2689-4491-A8B4-C7AF92923DD9}" name="G" dataDxfId="12">
      <calculatedColumnFormula>HEX2DEC(MID(BiomeColors[[#This Row],[Hexvalue]],3,2))</calculatedColumnFormula>
    </tableColumn>
    <tableColumn id="7" xr3:uid="{11A8F898-F08E-4434-8741-536733BB7EBA}" name="B" dataDxfId="11">
      <calculatedColumnFormula>HEX2DEC(MID(BiomeColors[[#This Row],[Hexvalue]],5,2))</calculatedColumnFormula>
    </tableColumn>
    <tableColumn id="4" xr3:uid="{3013160C-410C-448C-B6E1-6D07A77D42D8}" name="Color" dataDxfId="10">
      <calculatedColumnFormula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calculatedColumnFormula>
    </tableColumn>
    <tableColumn id="11" xr3:uid="{BA5289AF-78A5-43E7-93AE-6F9127ED9860}" name="CR" dataDxfId="9"/>
    <tableColumn id="12" xr3:uid="{2D0133F4-98F0-43EB-9124-901B02F8589E}" name="CG" dataDxfId="8"/>
    <tableColumn id="13" xr3:uid="{048E5DD1-9CE2-4B50-99D1-7DCAA57211D9}" name="CB" dataDxfId="7"/>
    <tableColumn id="10" xr3:uid="{A84D958D-560B-47C4-A2A9-8E4612FC180E}" name="Crayola" dataDxfId="6">
      <calculatedColumnFormula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calculatedColumnFormula>
    </tableColumn>
    <tableColumn id="14" xr3:uid="{217E7F22-7531-4503-8FA1-7B7D070370BD}" name="CName" dataDxfId="5">
      <calculatedColumnFormula>INDEX(Crayola[ColorName],MATCH(BiomeColors[[#This Row],[Crayola]],Crayola[Hex],0))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DAE56E-0919-4F7B-BDB6-4CC045C59590}" name="Crayola" displayName="Crayola" ref="B2:L122" totalsRowShown="0">
  <autoFilter ref="B2:L122" xr:uid="{99A0F2F3-4510-4407-B400-468C252807DA}"/>
  <tableColumns count="11">
    <tableColumn id="1" xr3:uid="{E5D3949D-1EC7-4E5D-846E-620EDF76D311}" name="ColorName"/>
    <tableColumn id="2" xr3:uid="{CD611C92-851E-40C3-8AF9-F9965751225F}" name="Hex"/>
    <tableColumn id="3" xr3:uid="{341B9778-0BF6-4AE5-9F20-8C5D2C276648}" name="R"/>
    <tableColumn id="4" xr3:uid="{A54A8A8D-464E-48FC-B651-F68A2F21BA79}" name="G"/>
    <tableColumn id="5" xr3:uid="{34C65FE1-AF0E-43AF-B16B-72DBC2D5F84F}" name="B"/>
    <tableColumn id="7" xr3:uid="{ACFCFF68-EF08-41F0-A963-9CDB153A5F0D}" name="ΔR^2" dataDxfId="4">
      <calculatedColumnFormula>(Crayola[[#This Row],[R]]-RGB_R)^2</calculatedColumnFormula>
    </tableColumn>
    <tableColumn id="8" xr3:uid="{38DFFFED-B627-4CD3-9C1C-19DB6928EDB3}" name="ΔG^2" dataDxfId="3">
      <calculatedColumnFormula>(Crayola[[#This Row],[G]]-RGB_G)^2</calculatedColumnFormula>
    </tableColumn>
    <tableColumn id="9" xr3:uid="{93CEFEEC-604E-4B1C-B950-9B021F6ED904}" name="ΔB^2" dataDxfId="2">
      <calculatedColumnFormula>(Crayola[[#This Row],[B]]-RGB_B)^2</calculatedColumnFormula>
    </tableColumn>
    <tableColumn id="11" xr3:uid="{6DB14C6D-FCD0-40E5-9A3A-F1817DE6E671}" name="Dist1" dataDxfId="1">
      <calculatedColumnFormula>SQRT(Crayola[[#This Row],[ΔR^2]]+Crayola[[#This Row],[ΔG^2]]+Crayola[[#This Row],[ΔB^2]])</calculatedColumnFormula>
    </tableColumn>
    <tableColumn id="10" xr3:uid="{BC2D3BAB-7FF8-43DA-B227-3115B95089BB}" name="Dist2" dataDxfId="0">
      <calculatedColumnFormula>SQRT(Crayola[[#This Row],[ΔR^2]]*2+Crayola[[#This Row],[ΔG^2]]*4+Crayola[[#This Row],[ΔB^2]]*3)</calculatedColumnFormula>
    </tableColumn>
    <tableColumn id="6" xr3:uid="{FF39AFF9-A0A1-4124-A8D8-DF6052A16E6E}" name="Colo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FB0B4-F47A-490F-B99F-4CA77FA5E4C8}">
  <sheetPr codeName="Sheet1"/>
  <dimension ref="C2:AO87"/>
  <sheetViews>
    <sheetView showGridLines="0" tabSelected="1" zoomScaleNormal="100" workbookViewId="0">
      <selection activeCell="AQ23" sqref="AQ23"/>
    </sheetView>
  </sheetViews>
  <sheetFormatPr defaultColWidth="9.1328125" defaultRowHeight="16.5" outlineLevelCol="1" x14ac:dyDescent="0.6"/>
  <cols>
    <col min="1" max="2" width="9.1328125" style="120"/>
    <col min="3" max="3" width="17.265625" style="120" bestFit="1" customWidth="1"/>
    <col min="4" max="4" width="9.1328125" style="120"/>
    <col min="5" max="5" width="11.59765625" style="121" bestFit="1" customWidth="1"/>
    <col min="6" max="7" width="11.59765625" style="122" customWidth="1"/>
    <col min="8" max="10" width="14.265625" style="121" customWidth="1" outlineLevel="1"/>
    <col min="11" max="11" width="9.1328125" style="120"/>
    <col min="12" max="14" width="9.1328125" style="120" customWidth="1" outlineLevel="1"/>
    <col min="15" max="15" width="11" style="120" bestFit="1" customWidth="1"/>
    <col min="16" max="16" width="18.59765625" style="120" bestFit="1" customWidth="1"/>
    <col min="17" max="19" width="9.1328125" style="120"/>
    <col min="20" max="20" width="10.86328125" style="120" customWidth="1"/>
    <col min="21" max="21" width="4.265625" style="120" customWidth="1"/>
    <col min="22" max="23" width="4.265625" style="120" customWidth="1" outlineLevel="1"/>
    <col min="24" max="24" width="2" style="120" customWidth="1"/>
    <col min="25" max="26" width="4.265625" style="120" customWidth="1"/>
    <col min="27" max="27" width="2" style="120" customWidth="1"/>
    <col min="28" max="29" width="4.265625" style="120" customWidth="1"/>
    <col min="30" max="30" width="2" style="120" customWidth="1"/>
    <col min="31" max="32" width="4.265625" style="120" customWidth="1"/>
    <col min="33" max="33" width="2" style="120" customWidth="1"/>
    <col min="34" max="35" width="4.265625" style="120" customWidth="1"/>
    <col min="36" max="36" width="2" style="120" customWidth="1"/>
    <col min="37" max="38" width="4.265625" style="120" customWidth="1"/>
    <col min="39" max="39" width="2" style="120" customWidth="1"/>
    <col min="40" max="41" width="4.265625" style="120" customWidth="1"/>
    <col min="42" max="16384" width="9.1328125" style="120"/>
  </cols>
  <sheetData>
    <row r="2" spans="3:41" x14ac:dyDescent="0.6">
      <c r="V2" s="120" t="s">
        <v>0</v>
      </c>
      <c r="W2" s="120" t="s">
        <v>1</v>
      </c>
      <c r="Y2" s="120" t="s">
        <v>0</v>
      </c>
      <c r="Z2" s="120" t="s">
        <v>1</v>
      </c>
      <c r="AB2" s="120" t="s">
        <v>0</v>
      </c>
      <c r="AC2" s="120" t="s">
        <v>1</v>
      </c>
      <c r="AE2" s="120" t="s">
        <v>0</v>
      </c>
      <c r="AF2" s="120" t="s">
        <v>1</v>
      </c>
      <c r="AH2" s="120" t="s">
        <v>0</v>
      </c>
      <c r="AI2" s="120" t="s">
        <v>1</v>
      </c>
      <c r="AK2" s="120" t="s">
        <v>0</v>
      </c>
      <c r="AL2" s="120" t="s">
        <v>1</v>
      </c>
      <c r="AN2" s="120" t="s">
        <v>0</v>
      </c>
      <c r="AO2" s="120" t="s">
        <v>1</v>
      </c>
    </row>
    <row r="3" spans="3:41" ht="15" customHeight="1" x14ac:dyDescent="0.6">
      <c r="C3" s="120" t="s">
        <v>2</v>
      </c>
      <c r="D3" s="120" t="s">
        <v>3</v>
      </c>
      <c r="E3" s="121" t="s">
        <v>4</v>
      </c>
      <c r="F3" s="122" t="s">
        <v>5</v>
      </c>
      <c r="G3" s="122" t="s">
        <v>6</v>
      </c>
      <c r="H3" s="121" t="s">
        <v>7</v>
      </c>
      <c r="I3" s="121" t="s">
        <v>8</v>
      </c>
      <c r="J3" s="121" t="s">
        <v>9</v>
      </c>
      <c r="K3" s="120" t="s">
        <v>10</v>
      </c>
      <c r="L3" s="120" t="s">
        <v>11</v>
      </c>
      <c r="M3" s="120" t="s">
        <v>12</v>
      </c>
      <c r="N3" s="120" t="s">
        <v>13</v>
      </c>
      <c r="O3" s="120" t="s">
        <v>14</v>
      </c>
      <c r="P3" s="120" t="s">
        <v>15</v>
      </c>
      <c r="U3" s="123" t="s">
        <v>3</v>
      </c>
      <c r="V3" s="317" t="s">
        <v>16</v>
      </c>
      <c r="W3" s="317"/>
      <c r="Y3" s="317" t="s">
        <v>17</v>
      </c>
      <c r="Z3" s="317"/>
      <c r="AB3" s="317" t="s">
        <v>18</v>
      </c>
      <c r="AC3" s="317"/>
      <c r="AE3" s="317" t="s">
        <v>19</v>
      </c>
      <c r="AF3" s="317"/>
      <c r="AH3" s="317" t="s">
        <v>20</v>
      </c>
      <c r="AI3" s="317"/>
      <c r="AK3" s="317" t="s">
        <v>21</v>
      </c>
      <c r="AL3" s="317"/>
      <c r="AN3" s="317" t="s">
        <v>22</v>
      </c>
      <c r="AO3" s="317"/>
    </row>
    <row r="4" spans="3:41" x14ac:dyDescent="0.6">
      <c r="C4" s="120" t="s">
        <v>16</v>
      </c>
      <c r="D4" s="120" t="s">
        <v>23</v>
      </c>
      <c r="E4" s="124" t="s">
        <v>24</v>
      </c>
      <c r="F4" s="125">
        <f>ROUNDUP(MATCH(BiomeColors[[#This Row],[Biome]],$V$3:$AN$3,0)/3,0)</f>
        <v>1</v>
      </c>
      <c r="G4" s="125">
        <f>MATCH(BiomeColors[[#This Row],[Month]],$U$4:$U$15,0)</f>
        <v>1</v>
      </c>
      <c r="H4" s="126">
        <f>HEX2DEC(MID(BiomeColors[[#This Row],[Hexvalue]],1,2))</f>
        <v>42</v>
      </c>
      <c r="I4" s="126">
        <f>HEX2DEC(MID(BiomeColors[[#This Row],[Hexvalue]],3,2))</f>
        <v>159</v>
      </c>
      <c r="J4" s="126">
        <f>HEX2DEC(MID(BiomeColors[[#This Row],[Hexvalue]],5,2))</f>
        <v>161</v>
      </c>
      <c r="K4" s="12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#2A9FA1</v>
      </c>
      <c r="L4" s="128">
        <v>41</v>
      </c>
      <c r="M4" s="128">
        <v>171</v>
      </c>
      <c r="N4" s="128">
        <v>135</v>
      </c>
      <c r="O4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4" s="130" t="str">
        <f>INDEX(Crayola[ColorName],MATCH(BiomeColors[[#This Row],[Crayola]],Crayola[Hex],0))</f>
        <v>Jungle Green</v>
      </c>
      <c r="U4" s="120" t="s">
        <v>23</v>
      </c>
      <c r="V4" s="131"/>
      <c r="W4" s="132"/>
      <c r="X4" s="133"/>
      <c r="Y4" s="134"/>
      <c r="Z4" s="135"/>
      <c r="AA4" s="133"/>
      <c r="AB4" s="136"/>
      <c r="AC4" s="137"/>
      <c r="AD4" s="133"/>
      <c r="AE4" s="274"/>
      <c r="AF4" s="145"/>
      <c r="AG4" s="133"/>
      <c r="AH4" s="285"/>
      <c r="AI4" s="135"/>
      <c r="AJ4" s="133"/>
      <c r="AK4" s="138"/>
      <c r="AL4" s="132"/>
      <c r="AM4" s="133"/>
      <c r="AN4" s="296"/>
      <c r="AO4" s="132"/>
    </row>
    <row r="5" spans="3:41" x14ac:dyDescent="0.6">
      <c r="C5" s="120" t="s">
        <v>16</v>
      </c>
      <c r="D5" s="120" t="s">
        <v>25</v>
      </c>
      <c r="E5" s="124">
        <v>145059</v>
      </c>
      <c r="F5" s="125">
        <f>ROUNDUP(MATCH(BiomeColors[[#This Row],[Biome]],$V$3:$AN$3,0)/3,0)</f>
        <v>1</v>
      </c>
      <c r="G5" s="125">
        <f>MATCH(BiomeColors[[#This Row],[Month]],$U$4:$U$15,0)</f>
        <v>2</v>
      </c>
      <c r="H5" s="126">
        <f>HEX2DEC(MID(BiomeColors[[#This Row],[Hexvalue]],1,2))</f>
        <v>20</v>
      </c>
      <c r="I5" s="126">
        <f>HEX2DEC(MID(BiomeColors[[#This Row],[Hexvalue]],3,2))</f>
        <v>80</v>
      </c>
      <c r="J5" s="126">
        <f>HEX2DEC(MID(BiomeColors[[#This Row],[Hexvalue]],5,2))</f>
        <v>89</v>
      </c>
      <c r="K5" s="13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#145059</v>
      </c>
      <c r="L5" s="128">
        <v>0</v>
      </c>
      <c r="M5" s="128">
        <v>117</v>
      </c>
      <c r="N5" s="128">
        <v>94</v>
      </c>
      <c r="O5" s="140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#00755E</v>
      </c>
      <c r="P5" s="141" t="str">
        <f>INDEX(Crayola[ColorName],MATCH(BiomeColors[[#This Row],[Crayola]],Crayola[Hex],0))</f>
        <v>Tropical Rain Forest</v>
      </c>
      <c r="R5" s="120" t="s">
        <v>26</v>
      </c>
      <c r="S5" s="120">
        <v>41</v>
      </c>
      <c r="U5" s="120" t="s">
        <v>25</v>
      </c>
      <c r="V5" s="142"/>
      <c r="W5" s="143"/>
      <c r="X5" s="133"/>
      <c r="Y5" s="144"/>
      <c r="Z5" s="145"/>
      <c r="AA5" s="133"/>
      <c r="AB5" s="146"/>
      <c r="AC5" s="147"/>
      <c r="AD5" s="133"/>
      <c r="AE5" s="275"/>
      <c r="AF5" s="145"/>
      <c r="AG5" s="133"/>
      <c r="AH5" s="286"/>
      <c r="AI5" s="145"/>
      <c r="AJ5" s="133"/>
      <c r="AK5" s="148"/>
      <c r="AL5" s="145"/>
      <c r="AM5" s="133"/>
      <c r="AN5" s="297"/>
      <c r="AO5" s="143"/>
    </row>
    <row r="6" spans="3:41" x14ac:dyDescent="0.6">
      <c r="C6" s="120" t="s">
        <v>16</v>
      </c>
      <c r="D6" s="120" t="s">
        <v>27</v>
      </c>
      <c r="E6" s="124">
        <v>145059</v>
      </c>
      <c r="F6" s="125">
        <f>ROUNDUP(MATCH(BiomeColors[[#This Row],[Biome]],$V$3:$AN$3,0)/3,0)</f>
        <v>1</v>
      </c>
      <c r="G6" s="125">
        <f>MATCH(BiomeColors[[#This Row],[Month]],$U$4:$U$15,0)</f>
        <v>3</v>
      </c>
      <c r="H6" s="126">
        <f>HEX2DEC(MID(BiomeColors[[#This Row],[Hexvalue]],1,2))</f>
        <v>20</v>
      </c>
      <c r="I6" s="126">
        <f>HEX2DEC(MID(BiomeColors[[#This Row],[Hexvalue]],3,2))</f>
        <v>80</v>
      </c>
      <c r="J6" s="126">
        <f>HEX2DEC(MID(BiomeColors[[#This Row],[Hexvalue]],5,2))</f>
        <v>89</v>
      </c>
      <c r="K6" s="13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#145059</v>
      </c>
      <c r="L6" s="128">
        <v>0</v>
      </c>
      <c r="M6" s="128">
        <v>117</v>
      </c>
      <c r="N6" s="128">
        <v>94</v>
      </c>
      <c r="O6" s="140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#00755E</v>
      </c>
      <c r="P6" s="141" t="str">
        <f>INDEX(Crayola[ColorName],MATCH(BiomeColors[[#This Row],[Crayola]],Crayola[Hex],0))</f>
        <v>Tropical Rain Forest</v>
      </c>
      <c r="R6" s="120" t="s">
        <v>28</v>
      </c>
      <c r="S6" s="120">
        <v>162</v>
      </c>
      <c r="U6" s="120" t="s">
        <v>27</v>
      </c>
      <c r="V6" s="142"/>
      <c r="W6" s="143"/>
      <c r="X6" s="133"/>
      <c r="Y6" s="149"/>
      <c r="Z6" s="135"/>
      <c r="AA6" s="133"/>
      <c r="AB6" s="150"/>
      <c r="AC6" s="151"/>
      <c r="AD6" s="133"/>
      <c r="AE6" s="276"/>
      <c r="AF6" s="145"/>
      <c r="AG6" s="133"/>
      <c r="AH6" s="287"/>
      <c r="AI6" s="145"/>
      <c r="AJ6" s="133"/>
      <c r="AK6" s="152"/>
      <c r="AL6" s="145"/>
      <c r="AM6" s="133"/>
      <c r="AN6" s="298"/>
      <c r="AO6" s="132"/>
    </row>
    <row r="7" spans="3:41" x14ac:dyDescent="0.6">
      <c r="C7" s="120" t="s">
        <v>16</v>
      </c>
      <c r="D7" s="120" t="s">
        <v>29</v>
      </c>
      <c r="E7" s="124" t="s">
        <v>30</v>
      </c>
      <c r="F7" s="125">
        <f>ROUNDUP(MATCH(BiomeColors[[#This Row],[Biome]],$V$3:$AN$3,0)/3,0)</f>
        <v>1</v>
      </c>
      <c r="G7" s="125">
        <f>MATCH(BiomeColors[[#This Row],[Month]],$U$4:$U$15,0)</f>
        <v>4</v>
      </c>
      <c r="H7" s="126">
        <f>HEX2DEC(MID(BiomeColors[[#This Row],[Hexvalue]],1,2))</f>
        <v>20</v>
      </c>
      <c r="I7" s="126">
        <f>HEX2DEC(MID(BiomeColors[[#This Row],[Hexvalue]],3,2))</f>
        <v>179</v>
      </c>
      <c r="J7" s="126">
        <f>HEX2DEC(MID(BiomeColors[[#This Row],[Hexvalue]],5,2))</f>
        <v>183</v>
      </c>
      <c r="K7" s="15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#14B3B7</v>
      </c>
      <c r="L7" s="128">
        <v>0</v>
      </c>
      <c r="M7" s="128">
        <v>157</v>
      </c>
      <c r="N7" s="128">
        <v>196</v>
      </c>
      <c r="O7" s="154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#009DC4</v>
      </c>
      <c r="P7" s="141" t="str">
        <f>INDEX(Crayola[ColorName],MATCH(BiomeColors[[#This Row],[Crayola]],Crayola[Hex],0))</f>
        <v>Pacific Blue</v>
      </c>
      <c r="R7" s="120" t="s">
        <v>31</v>
      </c>
      <c r="S7" s="120">
        <v>149</v>
      </c>
      <c r="U7" s="120" t="s">
        <v>29</v>
      </c>
      <c r="V7" s="155"/>
      <c r="W7" s="156"/>
      <c r="X7" s="133"/>
      <c r="Y7" s="157"/>
      <c r="Z7" s="145"/>
      <c r="AA7" s="133"/>
      <c r="AB7" s="158"/>
      <c r="AC7" s="135"/>
      <c r="AD7" s="133"/>
      <c r="AE7" s="277"/>
      <c r="AF7" s="145"/>
      <c r="AG7" s="133"/>
      <c r="AH7" s="288"/>
      <c r="AI7" s="289"/>
      <c r="AJ7" s="133"/>
      <c r="AK7" s="159"/>
      <c r="AL7" s="163"/>
      <c r="AM7" s="133"/>
      <c r="AN7" s="299"/>
      <c r="AO7" s="147"/>
    </row>
    <row r="8" spans="3:41" x14ac:dyDescent="0.6">
      <c r="C8" s="120" t="s">
        <v>16</v>
      </c>
      <c r="D8" s="120" t="s">
        <v>32</v>
      </c>
      <c r="E8" s="124" t="s">
        <v>33</v>
      </c>
      <c r="F8" s="125">
        <f>ROUNDUP(MATCH(BiomeColors[[#This Row],[Biome]],$V$3:$AN$3,0)/3,0)</f>
        <v>1</v>
      </c>
      <c r="G8" s="125">
        <f>MATCH(BiomeColors[[#This Row],[Month]],$U$4:$U$15,0)</f>
        <v>5</v>
      </c>
      <c r="H8" s="126">
        <f>HEX2DEC(MID(BiomeColors[[#This Row],[Hexvalue]],1,2))</f>
        <v>39</v>
      </c>
      <c r="I8" s="126">
        <f>HEX2DEC(MID(BiomeColors[[#This Row],[Hexvalue]],3,2))</f>
        <v>155</v>
      </c>
      <c r="J8" s="126">
        <f>HEX2DEC(MID(BiomeColors[[#This Row],[Hexvalue]],5,2))</f>
        <v>164</v>
      </c>
      <c r="K8" s="16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#279BA4</v>
      </c>
      <c r="L8" s="128">
        <v>41</v>
      </c>
      <c r="M8" s="128">
        <v>171</v>
      </c>
      <c r="N8" s="128">
        <v>135</v>
      </c>
      <c r="O8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8" s="141" t="str">
        <f>INDEX(Crayola[ColorName],MATCH(BiomeColors[[#This Row],[Crayola]],Crayola[Hex],0))</f>
        <v>Jungle Green</v>
      </c>
      <c r="R8" s="120" t="s">
        <v>34</v>
      </c>
      <c r="S8" s="120">
        <f>INDEX(Crayola[R],MATCH(MIN(Crayola[Dist2]),Crayola[Dist2],0))</f>
        <v>41</v>
      </c>
      <c r="U8" s="120" t="s">
        <v>32</v>
      </c>
      <c r="V8" s="161"/>
      <c r="W8" s="132"/>
      <c r="X8" s="133"/>
      <c r="Y8" s="162"/>
      <c r="Z8" s="163"/>
      <c r="AA8" s="133"/>
      <c r="AB8" s="164"/>
      <c r="AC8" s="163"/>
      <c r="AD8" s="133"/>
      <c r="AE8" s="278"/>
      <c r="AF8" s="163"/>
      <c r="AG8" s="133"/>
      <c r="AH8" s="316"/>
      <c r="AI8" s="289"/>
      <c r="AJ8" s="133"/>
      <c r="AK8" s="165"/>
      <c r="AL8" s="163"/>
      <c r="AM8" s="133"/>
      <c r="AN8" s="300"/>
      <c r="AO8" s="151"/>
    </row>
    <row r="9" spans="3:41" x14ac:dyDescent="0.6">
      <c r="C9" s="120" t="s">
        <v>16</v>
      </c>
      <c r="D9" s="120" t="s">
        <v>35</v>
      </c>
      <c r="E9" s="124" t="s">
        <v>36</v>
      </c>
      <c r="F9" s="125">
        <f>ROUNDUP(MATCH(BiomeColors[[#This Row],[Biome]],$V$3:$AN$3,0)/3,0)</f>
        <v>1</v>
      </c>
      <c r="G9" s="125">
        <f>MATCH(BiomeColors[[#This Row],[Month]],$U$4:$U$15,0)</f>
        <v>6</v>
      </c>
      <c r="H9" s="126">
        <f>HEX2DEC(MID(BiomeColors[[#This Row],[Hexvalue]],1,2))</f>
        <v>35</v>
      </c>
      <c r="I9" s="126">
        <f>HEX2DEC(MID(BiomeColors[[#This Row],[Hexvalue]],3,2))</f>
        <v>158</v>
      </c>
      <c r="J9" s="126">
        <f>HEX2DEC(MID(BiomeColors[[#This Row],[Hexvalue]],5,2))</f>
        <v>168</v>
      </c>
      <c r="K9" s="16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#239EA8</v>
      </c>
      <c r="L9" s="128">
        <v>0</v>
      </c>
      <c r="M9" s="128">
        <v>149</v>
      </c>
      <c r="N9" s="128">
        <v>183</v>
      </c>
      <c r="O9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9" s="141" t="str">
        <f>INDEX(Crayola[ColorName],MATCH(BiomeColors[[#This Row],[Crayola]],Crayola[Hex],0))</f>
        <v>Blue-Green</v>
      </c>
      <c r="R9" s="120" t="s">
        <v>37</v>
      </c>
      <c r="S9" s="120">
        <f>INDEX(Crayola[G],MATCH(MIN(Crayola[Dist2]),Crayola[Dist2],0))</f>
        <v>171</v>
      </c>
      <c r="U9" s="120" t="s">
        <v>35</v>
      </c>
      <c r="V9" s="168"/>
      <c r="W9" s="151"/>
      <c r="X9" s="133"/>
      <c r="Y9" s="169"/>
      <c r="Z9" s="135"/>
      <c r="AA9" s="133"/>
      <c r="AB9" s="170"/>
      <c r="AC9" s="163"/>
      <c r="AD9" s="133"/>
      <c r="AE9" s="279"/>
      <c r="AF9" s="145"/>
      <c r="AG9" s="133"/>
      <c r="AH9" s="316"/>
      <c r="AI9" s="289"/>
      <c r="AJ9" s="133"/>
      <c r="AK9" s="171"/>
      <c r="AL9" s="163"/>
      <c r="AM9" s="133"/>
      <c r="AN9" s="301"/>
      <c r="AO9" s="145"/>
    </row>
    <row r="10" spans="3:41" x14ac:dyDescent="0.6">
      <c r="C10" s="120" t="s">
        <v>16</v>
      </c>
      <c r="D10" s="120" t="s">
        <v>38</v>
      </c>
      <c r="E10" s="124" t="s">
        <v>39</v>
      </c>
      <c r="F10" s="125">
        <f>ROUNDUP(MATCH(BiomeColors[[#This Row],[Biome]],$V$3:$AN$3,0)/3,0)</f>
        <v>1</v>
      </c>
      <c r="G10" s="125">
        <f>MATCH(BiomeColors[[#This Row],[Month]],$U$4:$U$15,0)</f>
        <v>7</v>
      </c>
      <c r="H10" s="126">
        <f>HEX2DEC(MID(BiomeColors[[#This Row],[Hexvalue]],1,2))</f>
        <v>30</v>
      </c>
      <c r="I10" s="126">
        <f>HEX2DEC(MID(BiomeColors[[#This Row],[Hexvalue]],3,2))</f>
        <v>163</v>
      </c>
      <c r="J10" s="126">
        <f>HEX2DEC(MID(BiomeColors[[#This Row],[Hexvalue]],5,2))</f>
        <v>173</v>
      </c>
      <c r="K10" s="17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#1EA3AD</v>
      </c>
      <c r="L10" s="128">
        <v>0</v>
      </c>
      <c r="M10" s="128">
        <v>149</v>
      </c>
      <c r="N10" s="128">
        <v>183</v>
      </c>
      <c r="O10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10" s="141" t="str">
        <f>INDEX(Crayola[ColorName],MATCH(BiomeColors[[#This Row],[Crayola]],Crayola[Hex],0))</f>
        <v>Blue-Green</v>
      </c>
      <c r="R10" s="120" t="s">
        <v>40</v>
      </c>
      <c r="S10" s="120">
        <f>INDEX(Crayola[B],MATCH(MIN(Crayola[Dist2]),Crayola[Dist2],0))</f>
        <v>135</v>
      </c>
      <c r="U10" s="120" t="s">
        <v>38</v>
      </c>
      <c r="V10" s="173"/>
      <c r="W10" s="151"/>
      <c r="X10" s="133"/>
      <c r="Y10" s="174"/>
      <c r="Z10" s="135"/>
      <c r="AA10" s="133"/>
      <c r="AB10" s="175"/>
      <c r="AC10" s="163"/>
      <c r="AD10" s="133"/>
      <c r="AE10" s="280"/>
      <c r="AF10" s="145"/>
      <c r="AG10" s="133"/>
      <c r="AH10" s="290"/>
      <c r="AI10" s="289"/>
      <c r="AJ10" s="133"/>
      <c r="AK10" s="176"/>
      <c r="AL10" s="163"/>
      <c r="AM10" s="133"/>
      <c r="AN10" s="312"/>
      <c r="AO10" s="145"/>
    </row>
    <row r="11" spans="3:41" x14ac:dyDescent="0.6">
      <c r="C11" s="120" t="s">
        <v>16</v>
      </c>
      <c r="D11" s="120" t="s">
        <v>41</v>
      </c>
      <c r="E11" s="124" t="s">
        <v>42</v>
      </c>
      <c r="F11" s="125">
        <f>ROUNDUP(MATCH(BiomeColors[[#This Row],[Biome]],$V$3:$AN$3,0)/3,0)</f>
        <v>1</v>
      </c>
      <c r="G11" s="125">
        <f>MATCH(BiomeColors[[#This Row],[Month]],$U$4:$U$15,0)</f>
        <v>8</v>
      </c>
      <c r="H11" s="126">
        <f>HEX2DEC(MID(BiomeColors[[#This Row],[Hexvalue]],1,2))</f>
        <v>30</v>
      </c>
      <c r="I11" s="126">
        <f>HEX2DEC(MID(BiomeColors[[#This Row],[Hexvalue]],3,2))</f>
        <v>165</v>
      </c>
      <c r="J11" s="126">
        <f>HEX2DEC(MID(BiomeColors[[#This Row],[Hexvalue]],5,2))</f>
        <v>173</v>
      </c>
      <c r="K11" s="17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#1EA5AD</v>
      </c>
      <c r="L11" s="128">
        <v>0</v>
      </c>
      <c r="M11" s="128">
        <v>149</v>
      </c>
      <c r="N11" s="128">
        <v>183</v>
      </c>
      <c r="O11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11" s="141" t="str">
        <f>INDEX(Crayola[ColorName],MATCH(BiomeColors[[#This Row],[Crayola]],Crayola[Hex],0))</f>
        <v>Blue-Green</v>
      </c>
      <c r="U11" s="120" t="s">
        <v>41</v>
      </c>
      <c r="V11" s="178"/>
      <c r="W11" s="151"/>
      <c r="X11" s="133"/>
      <c r="Y11" s="179"/>
      <c r="Z11" s="145"/>
      <c r="AA11" s="133"/>
      <c r="AB11" s="180"/>
      <c r="AC11" s="163"/>
      <c r="AD11" s="133"/>
      <c r="AE11" s="305"/>
      <c r="AF11" s="163"/>
      <c r="AG11" s="133"/>
      <c r="AH11" s="291"/>
      <c r="AI11" s="289"/>
      <c r="AJ11" s="133"/>
      <c r="AK11" s="176"/>
      <c r="AL11" s="163"/>
      <c r="AM11" s="133"/>
      <c r="AN11" s="314"/>
      <c r="AO11" s="163"/>
    </row>
    <row r="12" spans="3:41" x14ac:dyDescent="0.6">
      <c r="C12" s="120" t="s">
        <v>16</v>
      </c>
      <c r="D12" s="120" t="s">
        <v>43</v>
      </c>
      <c r="E12" s="124" t="s">
        <v>44</v>
      </c>
      <c r="F12" s="125">
        <f>ROUNDUP(MATCH(BiomeColors[[#This Row],[Biome]],$V$3:$AN$3,0)/3,0)</f>
        <v>1</v>
      </c>
      <c r="G12" s="125">
        <f>MATCH(BiomeColors[[#This Row],[Month]],$U$4:$U$15,0)</f>
        <v>9</v>
      </c>
      <c r="H12" s="126">
        <f>HEX2DEC(MID(BiomeColors[[#This Row],[Hexvalue]],1,2))</f>
        <v>35</v>
      </c>
      <c r="I12" s="126">
        <f>HEX2DEC(MID(BiomeColors[[#This Row],[Hexvalue]],3,2))</f>
        <v>162</v>
      </c>
      <c r="J12" s="126">
        <f>HEX2DEC(MID(BiomeColors[[#This Row],[Hexvalue]],5,2))</f>
        <v>168</v>
      </c>
      <c r="K12" s="18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#23A2A8</v>
      </c>
      <c r="L12" s="128">
        <v>41</v>
      </c>
      <c r="M12" s="128">
        <v>171</v>
      </c>
      <c r="N12" s="128">
        <v>135</v>
      </c>
      <c r="O12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12" s="141" t="str">
        <f>INDEX(Crayola[ColorName],MATCH(BiomeColors[[#This Row],[Crayola]],Crayola[Hex],0))</f>
        <v>Jungle Green</v>
      </c>
      <c r="U12" s="120" t="s">
        <v>43</v>
      </c>
      <c r="V12" s="182"/>
      <c r="W12" s="132"/>
      <c r="X12" s="133"/>
      <c r="Y12" s="183"/>
      <c r="Z12" s="135"/>
      <c r="AA12" s="133"/>
      <c r="AB12" s="184"/>
      <c r="AC12" s="163"/>
      <c r="AD12" s="133"/>
      <c r="AE12" s="281"/>
      <c r="AF12" s="163"/>
      <c r="AG12" s="133"/>
      <c r="AH12" s="292"/>
      <c r="AI12" s="289"/>
      <c r="AJ12" s="133"/>
      <c r="AK12" s="185"/>
      <c r="AL12" s="145"/>
      <c r="AM12" s="133"/>
      <c r="AN12" s="302"/>
      <c r="AO12" s="145"/>
    </row>
    <row r="13" spans="3:41" x14ac:dyDescent="0.6">
      <c r="C13" s="120" t="s">
        <v>16</v>
      </c>
      <c r="D13" s="120" t="s">
        <v>45</v>
      </c>
      <c r="E13" s="124" t="s">
        <v>39</v>
      </c>
      <c r="F13" s="125">
        <f>ROUNDUP(MATCH(BiomeColors[[#This Row],[Biome]],$V$3:$AN$3,0)/3,0)</f>
        <v>1</v>
      </c>
      <c r="G13" s="125">
        <f>MATCH(BiomeColors[[#This Row],[Month]],$U$4:$U$15,0)</f>
        <v>10</v>
      </c>
      <c r="H13" s="126">
        <f>HEX2DEC(MID(BiomeColors[[#This Row],[Hexvalue]],1,2))</f>
        <v>30</v>
      </c>
      <c r="I13" s="126">
        <f>HEX2DEC(MID(BiomeColors[[#This Row],[Hexvalue]],3,2))</f>
        <v>163</v>
      </c>
      <c r="J13" s="126">
        <f>HEX2DEC(MID(BiomeColors[[#This Row],[Hexvalue]],5,2))</f>
        <v>173</v>
      </c>
      <c r="K13" s="17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#1EA3AD</v>
      </c>
      <c r="L13" s="128">
        <v>0</v>
      </c>
      <c r="M13" s="128">
        <v>149</v>
      </c>
      <c r="N13" s="128">
        <v>183</v>
      </c>
      <c r="O13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13" s="141" t="str">
        <f>INDEX(Crayola[ColorName],MATCH(BiomeColors[[#This Row],[Crayola]],Crayola[Hex],0))</f>
        <v>Blue-Green</v>
      </c>
      <c r="U13" s="120" t="s">
        <v>45</v>
      </c>
      <c r="V13" s="173"/>
      <c r="W13" s="151"/>
      <c r="X13" s="133"/>
      <c r="Y13" s="186"/>
      <c r="Z13" s="145"/>
      <c r="AA13" s="133"/>
      <c r="AB13" s="187"/>
      <c r="AC13" s="188"/>
      <c r="AD13" s="133"/>
      <c r="AE13" s="282"/>
      <c r="AF13" s="163"/>
      <c r="AG13" s="133"/>
      <c r="AH13" s="293"/>
      <c r="AI13" s="289"/>
      <c r="AJ13" s="133"/>
      <c r="AK13" s="189"/>
      <c r="AL13" s="145"/>
      <c r="AM13" s="133"/>
      <c r="AN13" s="308"/>
      <c r="AO13" s="143"/>
    </row>
    <row r="14" spans="3:41" x14ac:dyDescent="0.6">
      <c r="C14" s="120" t="s">
        <v>16</v>
      </c>
      <c r="D14" s="120" t="s">
        <v>46</v>
      </c>
      <c r="E14" s="124" t="s">
        <v>47</v>
      </c>
      <c r="F14" s="125">
        <f>ROUNDUP(MATCH(BiomeColors[[#This Row],[Biome]],$V$3:$AN$3,0)/3,0)</f>
        <v>1</v>
      </c>
      <c r="G14" s="125">
        <f>MATCH(BiomeColors[[#This Row],[Month]],$U$4:$U$15,0)</f>
        <v>11</v>
      </c>
      <c r="H14" s="126">
        <f>HEX2DEC(MID(BiomeColors[[#This Row],[Hexvalue]],1,2))</f>
        <v>27</v>
      </c>
      <c r="I14" s="126">
        <f>HEX2DEC(MID(BiomeColors[[#This Row],[Hexvalue]],3,2))</f>
        <v>81</v>
      </c>
      <c r="J14" s="126">
        <f>HEX2DEC(MID(BiomeColors[[#This Row],[Hexvalue]],5,2))</f>
        <v>88</v>
      </c>
      <c r="K14" s="19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#1B5158</v>
      </c>
      <c r="L14" s="128">
        <v>45</v>
      </c>
      <c r="M14" s="128">
        <v>56</v>
      </c>
      <c r="N14" s="128">
        <v>58</v>
      </c>
      <c r="O14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14" s="141" t="str">
        <f>INDEX(Crayola[ColorName],MATCH(BiomeColors[[#This Row],[Crayola]],Crayola[Hex],0))</f>
        <v>Outer Space</v>
      </c>
      <c r="U14" s="120" t="s">
        <v>46</v>
      </c>
      <c r="V14" s="192"/>
      <c r="W14" s="135"/>
      <c r="X14" s="133"/>
      <c r="Y14" s="193"/>
      <c r="Z14" s="135"/>
      <c r="AA14" s="133"/>
      <c r="AB14" s="194"/>
      <c r="AC14" s="188"/>
      <c r="AD14" s="133"/>
      <c r="AE14" s="283"/>
      <c r="AF14" s="163"/>
      <c r="AG14" s="133"/>
      <c r="AH14" s="294"/>
      <c r="AI14" s="135"/>
      <c r="AJ14" s="133"/>
      <c r="AK14" s="195"/>
      <c r="AL14" s="163"/>
      <c r="AM14" s="133"/>
      <c r="AN14" s="310"/>
      <c r="AO14" s="135"/>
    </row>
    <row r="15" spans="3:41" x14ac:dyDescent="0.6">
      <c r="C15" s="120" t="s">
        <v>16</v>
      </c>
      <c r="D15" s="120" t="s">
        <v>48</v>
      </c>
      <c r="E15" s="124" t="s">
        <v>49</v>
      </c>
      <c r="F15" s="125">
        <f>ROUNDUP(MATCH(BiomeColors[[#This Row],[Biome]],$V$3:$AN$3,0)/3,0)</f>
        <v>1</v>
      </c>
      <c r="G15" s="125">
        <f>MATCH(BiomeColors[[#This Row],[Month]],$U$4:$U$15,0)</f>
        <v>12</v>
      </c>
      <c r="H15" s="126">
        <f>HEX2DEC(MID(BiomeColors[[#This Row],[Hexvalue]],1,2))</f>
        <v>44</v>
      </c>
      <c r="I15" s="126">
        <f>HEX2DEC(MID(BiomeColors[[#This Row],[Hexvalue]],3,2))</f>
        <v>155</v>
      </c>
      <c r="J15" s="126">
        <f>HEX2DEC(MID(BiomeColors[[#This Row],[Hexvalue]],5,2))</f>
        <v>159</v>
      </c>
      <c r="K15" s="19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#2C9B9F</v>
      </c>
      <c r="L15" s="128">
        <v>41</v>
      </c>
      <c r="M15" s="128">
        <v>171</v>
      </c>
      <c r="N15" s="128">
        <v>135</v>
      </c>
      <c r="O15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15" s="141" t="str">
        <f>INDEX(Crayola[ColorName],MATCH(BiomeColors[[#This Row],[Crayola]],Crayola[Hex],0))</f>
        <v>Jungle Green</v>
      </c>
      <c r="U15" s="120" t="s">
        <v>48</v>
      </c>
      <c r="V15" s="197"/>
      <c r="W15" s="132"/>
      <c r="X15" s="133"/>
      <c r="Y15" s="198"/>
      <c r="Z15" s="135"/>
      <c r="AA15" s="133"/>
      <c r="AB15" s="199"/>
      <c r="AC15" s="143"/>
      <c r="AD15" s="133"/>
      <c r="AE15" s="284"/>
      <c r="AF15" s="145"/>
      <c r="AG15" s="133"/>
      <c r="AH15" s="295"/>
      <c r="AI15" s="289"/>
      <c r="AJ15" s="133"/>
      <c r="AK15" s="200"/>
      <c r="AL15" s="188"/>
      <c r="AM15" s="133"/>
      <c r="AN15" s="303"/>
      <c r="AO15" s="132"/>
    </row>
    <row r="16" spans="3:41" x14ac:dyDescent="0.6">
      <c r="C16" s="120" t="s">
        <v>17</v>
      </c>
      <c r="D16" s="120" t="s">
        <v>23</v>
      </c>
      <c r="E16" s="124" t="s">
        <v>50</v>
      </c>
      <c r="F16" s="125">
        <f>ROUNDUP(MATCH(BiomeColors[[#This Row],[Biome]],$V$3:$AN$3,0)/3,0)</f>
        <v>2</v>
      </c>
      <c r="G16" s="125">
        <f>MATCH(BiomeColors[[#This Row],[Month]],$U$4:$U$15,0)</f>
        <v>1</v>
      </c>
      <c r="H16" s="126">
        <f>HEX2DEC(MID(BiomeColors[[#This Row],[Hexvalue]],1,2))</f>
        <v>28</v>
      </c>
      <c r="I16" s="126">
        <f>HEX2DEC(MID(BiomeColors[[#This Row],[Hexvalue]],3,2))</f>
        <v>66</v>
      </c>
      <c r="J16" s="126">
        <f>HEX2DEC(MID(BiomeColors[[#This Row],[Hexvalue]],5,2))</f>
        <v>87</v>
      </c>
      <c r="K16" s="20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#1C4257</v>
      </c>
      <c r="L16" s="128">
        <v>45</v>
      </c>
      <c r="M16" s="128">
        <v>56</v>
      </c>
      <c r="N16" s="128">
        <v>58</v>
      </c>
      <c r="O16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16" s="141" t="str">
        <f>INDEX(Crayola[ColorName],MATCH(BiomeColors[[#This Row],[Crayola]],Crayola[Hex],0))</f>
        <v>Outer Space</v>
      </c>
    </row>
    <row r="17" spans="3:16" x14ac:dyDescent="0.6">
      <c r="C17" s="120" t="s">
        <v>17</v>
      </c>
      <c r="D17" s="120" t="s">
        <v>25</v>
      </c>
      <c r="E17" s="124" t="s">
        <v>51</v>
      </c>
      <c r="F17" s="125">
        <f>ROUNDUP(MATCH(BiomeColors[[#This Row],[Biome]],$V$3:$AN$3,0)/3,0)</f>
        <v>2</v>
      </c>
      <c r="G17" s="125">
        <f>MATCH(BiomeColors[[#This Row],[Month]],$U$4:$U$15,0)</f>
        <v>2</v>
      </c>
      <c r="H17" s="126">
        <f>HEX2DEC(MID(BiomeColors[[#This Row],[Hexvalue]],1,2))</f>
        <v>79</v>
      </c>
      <c r="I17" s="126">
        <f>HEX2DEC(MID(BiomeColors[[#This Row],[Hexvalue]],3,2))</f>
        <v>108</v>
      </c>
      <c r="J17" s="126">
        <f>HEX2DEC(MID(BiomeColors[[#This Row],[Hexvalue]],5,2))</f>
        <v>59</v>
      </c>
      <c r="K17" s="20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#4F6C3B</v>
      </c>
      <c r="L17" s="128">
        <v>131</v>
      </c>
      <c r="M17" s="128">
        <v>112</v>
      </c>
      <c r="N17" s="128">
        <v>80</v>
      </c>
      <c r="O17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17" s="141" t="str">
        <f>INDEX(Crayola[ColorName],MATCH(BiomeColors[[#This Row],[Crayola]],Crayola[Hex],0))</f>
        <v>Shadow</v>
      </c>
    </row>
    <row r="18" spans="3:16" x14ac:dyDescent="0.6">
      <c r="C18" s="120" t="s">
        <v>17</v>
      </c>
      <c r="D18" s="120" t="s">
        <v>27</v>
      </c>
      <c r="E18" s="124">
        <v>164458</v>
      </c>
      <c r="F18" s="125">
        <f>ROUNDUP(MATCH(BiomeColors[[#This Row],[Biome]],$V$3:$AN$3,0)/3,0)</f>
        <v>2</v>
      </c>
      <c r="G18" s="125">
        <f>MATCH(BiomeColors[[#This Row],[Month]],$U$4:$U$15,0)</f>
        <v>3</v>
      </c>
      <c r="H18" s="126">
        <f>HEX2DEC(MID(BiomeColors[[#This Row],[Hexvalue]],1,2))</f>
        <v>22</v>
      </c>
      <c r="I18" s="126">
        <f>HEX2DEC(MID(BiomeColors[[#This Row],[Hexvalue]],3,2))</f>
        <v>68</v>
      </c>
      <c r="J18" s="126">
        <f>HEX2DEC(MID(BiomeColors[[#This Row],[Hexvalue]],5,2))</f>
        <v>88</v>
      </c>
      <c r="K18" s="20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#164458</v>
      </c>
      <c r="L18" s="128">
        <v>45</v>
      </c>
      <c r="M18" s="128">
        <v>56</v>
      </c>
      <c r="N18" s="128">
        <v>58</v>
      </c>
      <c r="O18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18" s="141" t="str">
        <f>INDEX(Crayola[ColorName],MATCH(BiomeColors[[#This Row],[Crayola]],Crayola[Hex],0))</f>
        <v>Outer Space</v>
      </c>
    </row>
    <row r="19" spans="3:16" x14ac:dyDescent="0.6">
      <c r="C19" s="120" t="s">
        <v>17</v>
      </c>
      <c r="D19" s="120" t="s">
        <v>29</v>
      </c>
      <c r="E19" s="124" t="s">
        <v>52</v>
      </c>
      <c r="F19" s="125">
        <f>ROUNDUP(MATCH(BiomeColors[[#This Row],[Biome]],$V$3:$AN$3,0)/3,0)</f>
        <v>2</v>
      </c>
      <c r="G19" s="125">
        <f>MATCH(BiomeColors[[#This Row],[Month]],$U$4:$U$15,0)</f>
        <v>4</v>
      </c>
      <c r="H19" s="126">
        <f>HEX2DEC(MID(BiomeColors[[#This Row],[Hexvalue]],1,2))</f>
        <v>76</v>
      </c>
      <c r="I19" s="126">
        <f>HEX2DEC(MID(BiomeColors[[#This Row],[Hexvalue]],3,2))</f>
        <v>103</v>
      </c>
      <c r="J19" s="126">
        <f>HEX2DEC(MID(BiomeColors[[#This Row],[Hexvalue]],5,2))</f>
        <v>60</v>
      </c>
      <c r="K19" s="20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#4C673C</v>
      </c>
      <c r="L19" s="128">
        <v>131</v>
      </c>
      <c r="M19" s="128">
        <v>112</v>
      </c>
      <c r="N19" s="128">
        <v>80</v>
      </c>
      <c r="O19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19" s="141" t="str">
        <f>INDEX(Crayola[ColorName],MATCH(BiomeColors[[#This Row],[Crayola]],Crayola[Hex],0))</f>
        <v>Shadow</v>
      </c>
    </row>
    <row r="20" spans="3:16" x14ac:dyDescent="0.6">
      <c r="C20" s="120" t="s">
        <v>17</v>
      </c>
      <c r="D20" s="120" t="s">
        <v>32</v>
      </c>
      <c r="E20" s="124" t="s">
        <v>53</v>
      </c>
      <c r="F20" s="125">
        <f>ROUNDUP(MATCH(BiomeColors[[#This Row],[Biome]],$V$3:$AN$3,0)/3,0)</f>
        <v>2</v>
      </c>
      <c r="G20" s="125">
        <f>MATCH(BiomeColors[[#This Row],[Month]],$U$4:$U$15,0)</f>
        <v>5</v>
      </c>
      <c r="H20" s="126">
        <f>HEX2DEC(MID(BiomeColors[[#This Row],[Hexvalue]],1,2))</f>
        <v>96</v>
      </c>
      <c r="I20" s="126">
        <f>HEX2DEC(MID(BiomeColors[[#This Row],[Hexvalue]],3,2))</f>
        <v>154</v>
      </c>
      <c r="J20" s="126">
        <f>HEX2DEC(MID(BiomeColors[[#This Row],[Hexvalue]],5,2))</f>
        <v>49</v>
      </c>
      <c r="K20" s="20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#609A31</v>
      </c>
      <c r="L20" s="128">
        <v>123</v>
      </c>
      <c r="M20" s="128">
        <v>160</v>
      </c>
      <c r="N20" s="128">
        <v>91</v>
      </c>
      <c r="O20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20" s="141" t="str">
        <f>INDEX(Crayola[ColorName],MATCH(BiomeColors[[#This Row],[Crayola]],Crayola[Hex],0))</f>
        <v>Asparagus</v>
      </c>
    </row>
    <row r="21" spans="3:16" x14ac:dyDescent="0.6">
      <c r="C21" s="120" t="s">
        <v>17</v>
      </c>
      <c r="D21" s="120" t="s">
        <v>35</v>
      </c>
      <c r="E21" s="124" t="s">
        <v>54</v>
      </c>
      <c r="F21" s="125">
        <f>ROUNDUP(MATCH(BiomeColors[[#This Row],[Biome]],$V$3:$AN$3,0)/3,0)</f>
        <v>2</v>
      </c>
      <c r="G21" s="125">
        <f>MATCH(BiomeColors[[#This Row],[Month]],$U$4:$U$15,0)</f>
        <v>6</v>
      </c>
      <c r="H21" s="126">
        <f>HEX2DEC(MID(BiomeColors[[#This Row],[Hexvalue]],1,2))</f>
        <v>26</v>
      </c>
      <c r="I21" s="126">
        <f>HEX2DEC(MID(BiomeColors[[#This Row],[Hexvalue]],3,2))</f>
        <v>40</v>
      </c>
      <c r="J21" s="126">
        <f>HEX2DEC(MID(BiomeColors[[#This Row],[Hexvalue]],5,2))</f>
        <v>54</v>
      </c>
      <c r="K21" s="20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#1A2836</v>
      </c>
      <c r="L21" s="128">
        <v>45</v>
      </c>
      <c r="M21" s="128">
        <v>56</v>
      </c>
      <c r="N21" s="128">
        <v>58</v>
      </c>
      <c r="O21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21" s="141" t="str">
        <f>INDEX(Crayola[ColorName],MATCH(BiomeColors[[#This Row],[Crayola]],Crayola[Hex],0))</f>
        <v>Outer Space</v>
      </c>
    </row>
    <row r="22" spans="3:16" x14ac:dyDescent="0.6">
      <c r="C22" s="120" t="s">
        <v>17</v>
      </c>
      <c r="D22" s="120" t="s">
        <v>38</v>
      </c>
      <c r="E22" s="124" t="s">
        <v>55</v>
      </c>
      <c r="F22" s="125">
        <f>ROUNDUP(MATCH(BiomeColors[[#This Row],[Biome]],$V$3:$AN$3,0)/3,0)</f>
        <v>2</v>
      </c>
      <c r="G22" s="125">
        <f>MATCH(BiomeColors[[#This Row],[Month]],$U$4:$U$15,0)</f>
        <v>7</v>
      </c>
      <c r="H22" s="126">
        <f>HEX2DEC(MID(BiomeColors[[#This Row],[Hexvalue]],1,2))</f>
        <v>44</v>
      </c>
      <c r="I22" s="126">
        <f>HEX2DEC(MID(BiomeColors[[#This Row],[Hexvalue]],3,2))</f>
        <v>77</v>
      </c>
      <c r="J22" s="126">
        <f>HEX2DEC(MID(BiomeColors[[#This Row],[Hexvalue]],5,2))</f>
        <v>86</v>
      </c>
      <c r="K22" s="20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#2C4D56</v>
      </c>
      <c r="L22" s="128">
        <v>45</v>
      </c>
      <c r="M22" s="128">
        <v>56</v>
      </c>
      <c r="N22" s="128">
        <v>58</v>
      </c>
      <c r="O22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22" s="141" t="str">
        <f>INDEX(Crayola[ColorName],MATCH(BiomeColors[[#This Row],[Crayola]],Crayola[Hex],0))</f>
        <v>Outer Space</v>
      </c>
    </row>
    <row r="23" spans="3:16" x14ac:dyDescent="0.6">
      <c r="C23" s="120" t="s">
        <v>17</v>
      </c>
      <c r="D23" s="120" t="s">
        <v>41</v>
      </c>
      <c r="E23" s="124" t="s">
        <v>56</v>
      </c>
      <c r="F23" s="125">
        <f>ROUNDUP(MATCH(BiomeColors[[#This Row],[Biome]],$V$3:$AN$3,0)/3,0)</f>
        <v>2</v>
      </c>
      <c r="G23" s="125">
        <f>MATCH(BiomeColors[[#This Row],[Month]],$U$4:$U$15,0)</f>
        <v>8</v>
      </c>
      <c r="H23" s="126">
        <f>HEX2DEC(MID(BiomeColors[[#This Row],[Hexvalue]],1,2))</f>
        <v>128</v>
      </c>
      <c r="I23" s="126">
        <f>HEX2DEC(MID(BiomeColors[[#This Row],[Hexvalue]],3,2))</f>
        <v>100</v>
      </c>
      <c r="J23" s="126">
        <f>HEX2DEC(MID(BiomeColors[[#This Row],[Hexvalue]],5,2))</f>
        <v>75</v>
      </c>
      <c r="K23" s="21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#80644B</v>
      </c>
      <c r="L23" s="128">
        <v>131</v>
      </c>
      <c r="M23" s="128">
        <v>112</v>
      </c>
      <c r="N23" s="128">
        <v>80</v>
      </c>
      <c r="O23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23" s="141" t="str">
        <f>INDEX(Crayola[ColorName],MATCH(BiomeColors[[#This Row],[Crayola]],Crayola[Hex],0))</f>
        <v>Shadow</v>
      </c>
    </row>
    <row r="24" spans="3:16" x14ac:dyDescent="0.6">
      <c r="C24" s="120" t="s">
        <v>17</v>
      </c>
      <c r="D24" s="120" t="s">
        <v>43</v>
      </c>
      <c r="E24" s="124" t="s">
        <v>57</v>
      </c>
      <c r="F24" s="125">
        <f>ROUNDUP(MATCH(BiomeColors[[#This Row],[Biome]],$V$3:$AN$3,0)/3,0)</f>
        <v>2</v>
      </c>
      <c r="G24" s="125">
        <f>MATCH(BiomeColors[[#This Row],[Month]],$U$4:$U$15,0)</f>
        <v>9</v>
      </c>
      <c r="H24" s="126">
        <f>HEX2DEC(MID(BiomeColors[[#This Row],[Hexvalue]],1,2))</f>
        <v>43</v>
      </c>
      <c r="I24" s="126">
        <f>HEX2DEC(MID(BiomeColors[[#This Row],[Hexvalue]],3,2))</f>
        <v>73</v>
      </c>
      <c r="J24" s="126">
        <f>HEX2DEC(MID(BiomeColors[[#This Row],[Hexvalue]],5,2))</f>
        <v>86</v>
      </c>
      <c r="K24" s="21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#2B4956</v>
      </c>
      <c r="L24" s="128">
        <v>45</v>
      </c>
      <c r="M24" s="128">
        <v>56</v>
      </c>
      <c r="N24" s="128">
        <v>58</v>
      </c>
      <c r="O24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24" s="141" t="str">
        <f>INDEX(Crayola[ColorName],MATCH(BiomeColors[[#This Row],[Crayola]],Crayola[Hex],0))</f>
        <v>Outer Space</v>
      </c>
    </row>
    <row r="25" spans="3:16" x14ac:dyDescent="0.6">
      <c r="C25" s="120" t="s">
        <v>17</v>
      </c>
      <c r="D25" s="120" t="s">
        <v>45</v>
      </c>
      <c r="E25" s="124">
        <v>826649</v>
      </c>
      <c r="F25" s="125">
        <f>ROUNDUP(MATCH(BiomeColors[[#This Row],[Biome]],$V$3:$AN$3,0)/3,0)</f>
        <v>2</v>
      </c>
      <c r="G25" s="125">
        <f>MATCH(BiomeColors[[#This Row],[Month]],$U$4:$U$15,0)</f>
        <v>10</v>
      </c>
      <c r="H25" s="126">
        <f>HEX2DEC(MID(BiomeColors[[#This Row],[Hexvalue]],1,2))</f>
        <v>130</v>
      </c>
      <c r="I25" s="126">
        <f>HEX2DEC(MID(BiomeColors[[#This Row],[Hexvalue]],3,2))</f>
        <v>102</v>
      </c>
      <c r="J25" s="126">
        <f>HEX2DEC(MID(BiomeColors[[#This Row],[Hexvalue]],5,2))</f>
        <v>73</v>
      </c>
      <c r="K25" s="21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#826649</v>
      </c>
      <c r="L25" s="128">
        <v>131</v>
      </c>
      <c r="M25" s="128">
        <v>112</v>
      </c>
      <c r="N25" s="128">
        <v>80</v>
      </c>
      <c r="O25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25" s="141" t="str">
        <f>INDEX(Crayola[ColorName],MATCH(BiomeColors[[#This Row],[Crayola]],Crayola[Hex],0))</f>
        <v>Shadow</v>
      </c>
    </row>
    <row r="26" spans="3:16" x14ac:dyDescent="0.6">
      <c r="C26" s="120" t="s">
        <v>17</v>
      </c>
      <c r="D26" s="120" t="s">
        <v>46</v>
      </c>
      <c r="E26" s="124">
        <v>184857</v>
      </c>
      <c r="F26" s="125">
        <f>ROUNDUP(MATCH(BiomeColors[[#This Row],[Biome]],$V$3:$AN$3,0)/3,0)</f>
        <v>2</v>
      </c>
      <c r="G26" s="125">
        <f>MATCH(BiomeColors[[#This Row],[Month]],$U$4:$U$15,0)</f>
        <v>11</v>
      </c>
      <c r="H26" s="126">
        <f>HEX2DEC(MID(BiomeColors[[#This Row],[Hexvalue]],1,2))</f>
        <v>24</v>
      </c>
      <c r="I26" s="126">
        <f>HEX2DEC(MID(BiomeColors[[#This Row],[Hexvalue]],3,2))</f>
        <v>72</v>
      </c>
      <c r="J26" s="126">
        <f>HEX2DEC(MID(BiomeColors[[#This Row],[Hexvalue]],5,2))</f>
        <v>87</v>
      </c>
      <c r="K26" s="21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#184857</v>
      </c>
      <c r="L26" s="128">
        <v>45</v>
      </c>
      <c r="M26" s="128">
        <v>56</v>
      </c>
      <c r="N26" s="128">
        <v>58</v>
      </c>
      <c r="O26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26" s="141" t="str">
        <f>INDEX(Crayola[ColorName],MATCH(BiomeColors[[#This Row],[Crayola]],Crayola[Hex],0))</f>
        <v>Outer Space</v>
      </c>
    </row>
    <row r="27" spans="3:16" x14ac:dyDescent="0.6">
      <c r="C27" s="120" t="s">
        <v>17</v>
      </c>
      <c r="D27" s="120" t="s">
        <v>48</v>
      </c>
      <c r="E27" s="124" t="s">
        <v>58</v>
      </c>
      <c r="F27" s="125">
        <f>ROUNDUP(MATCH(BiomeColors[[#This Row],[Biome]],$V$3:$AN$3,0)/3,0)</f>
        <v>2</v>
      </c>
      <c r="G27" s="125">
        <f>MATCH(BiomeColors[[#This Row],[Month]],$U$4:$U$15,0)</f>
        <v>12</v>
      </c>
      <c r="H27" s="126">
        <f>HEX2DEC(MID(BiomeColors[[#This Row],[Hexvalue]],1,2))</f>
        <v>30</v>
      </c>
      <c r="I27" s="126">
        <f>HEX2DEC(MID(BiomeColors[[#This Row],[Hexvalue]],3,2))</f>
        <v>69</v>
      </c>
      <c r="J27" s="126">
        <f>HEX2DEC(MID(BiomeColors[[#This Row],[Hexvalue]],5,2))</f>
        <v>87</v>
      </c>
      <c r="K27" s="21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#1E4557</v>
      </c>
      <c r="L27" s="128">
        <v>45</v>
      </c>
      <c r="M27" s="128">
        <v>56</v>
      </c>
      <c r="N27" s="128">
        <v>58</v>
      </c>
      <c r="O27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27" s="141" t="str">
        <f>INDEX(Crayola[ColorName],MATCH(BiomeColors[[#This Row],[Crayola]],Crayola[Hex],0))</f>
        <v>Outer Space</v>
      </c>
    </row>
    <row r="28" spans="3:16" x14ac:dyDescent="0.6">
      <c r="C28" s="120" t="s">
        <v>18</v>
      </c>
      <c r="D28" s="120" t="s">
        <v>23</v>
      </c>
      <c r="E28" s="124" t="s">
        <v>59</v>
      </c>
      <c r="F28" s="125">
        <f>ROUNDUP(MATCH(BiomeColors[[#This Row],[Biome]],$V$3:$AN$3,0)/3,0)</f>
        <v>3</v>
      </c>
      <c r="G28" s="125">
        <f>MATCH(BiomeColors[[#This Row],[Month]],$U$4:$U$15,0)</f>
        <v>1</v>
      </c>
      <c r="H28" s="126">
        <f>HEX2DEC(MID(BiomeColors[[#This Row],[Hexvalue]],1,2))</f>
        <v>41</v>
      </c>
      <c r="I28" s="126">
        <f>HEX2DEC(MID(BiomeColors[[#This Row],[Hexvalue]],3,2))</f>
        <v>126</v>
      </c>
      <c r="J28" s="126">
        <f>HEX2DEC(MID(BiomeColors[[#This Row],[Hexvalue]],5,2))</f>
        <v>123</v>
      </c>
      <c r="K28" s="21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#297E7B</v>
      </c>
      <c r="L28" s="128">
        <v>0</v>
      </c>
      <c r="M28" s="128">
        <v>128</v>
      </c>
      <c r="N28" s="128">
        <v>128</v>
      </c>
      <c r="O28" s="21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#008080</v>
      </c>
      <c r="P28" s="141" t="str">
        <f>INDEX(Crayola[ColorName],MATCH(BiomeColors[[#This Row],[Crayola]],Crayola[Hex],0))</f>
        <v>Teal Blue</v>
      </c>
    </row>
    <row r="29" spans="3:16" x14ac:dyDescent="0.6">
      <c r="C29" s="120" t="s">
        <v>18</v>
      </c>
      <c r="D29" s="120" t="s">
        <v>25</v>
      </c>
      <c r="E29" s="124">
        <v>115177</v>
      </c>
      <c r="F29" s="125">
        <f>ROUNDUP(MATCH(BiomeColors[[#This Row],[Biome]],$V$3:$AN$3,0)/3,0)</f>
        <v>3</v>
      </c>
      <c r="G29" s="125">
        <f>MATCH(BiomeColors[[#This Row],[Month]],$U$4:$U$15,0)</f>
        <v>2</v>
      </c>
      <c r="H29" s="126">
        <f>HEX2DEC(MID(BiomeColors[[#This Row],[Hexvalue]],1,2))</f>
        <v>17</v>
      </c>
      <c r="I29" s="126">
        <f>HEX2DEC(MID(BiomeColors[[#This Row],[Hexvalue]],3,2))</f>
        <v>81</v>
      </c>
      <c r="J29" s="126">
        <f>HEX2DEC(MID(BiomeColors[[#This Row],[Hexvalue]],5,2))</f>
        <v>119</v>
      </c>
      <c r="K29" s="21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#115177</v>
      </c>
      <c r="L29" s="128">
        <v>0</v>
      </c>
      <c r="M29" s="128">
        <v>70</v>
      </c>
      <c r="N29" s="128">
        <v>140</v>
      </c>
      <c r="O29" s="218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#00468C</v>
      </c>
      <c r="P29" s="141" t="str">
        <f>INDEX(Crayola[ColorName],MATCH(BiomeColors[[#This Row],[Crayola]],Crayola[Hex],0))</f>
        <v>Midnight Blue</v>
      </c>
    </row>
    <row r="30" spans="3:16" x14ac:dyDescent="0.6">
      <c r="C30" s="120" t="s">
        <v>18</v>
      </c>
      <c r="D30" s="120" t="s">
        <v>27</v>
      </c>
      <c r="E30" s="124" t="s">
        <v>60</v>
      </c>
      <c r="F30" s="125">
        <f>ROUNDUP(MATCH(BiomeColors[[#This Row],[Biome]],$V$3:$AN$3,0)/3,0)</f>
        <v>3</v>
      </c>
      <c r="G30" s="125">
        <f>MATCH(BiomeColors[[#This Row],[Month]],$U$4:$U$15,0)</f>
        <v>3</v>
      </c>
      <c r="H30" s="126">
        <f>HEX2DEC(MID(BiomeColors[[#This Row],[Hexvalue]],1,2))</f>
        <v>38</v>
      </c>
      <c r="I30" s="126">
        <f>HEX2DEC(MID(BiomeColors[[#This Row],[Hexvalue]],3,2))</f>
        <v>153</v>
      </c>
      <c r="J30" s="126">
        <f>HEX2DEC(MID(BiomeColors[[#This Row],[Hexvalue]],5,2))</f>
        <v>165</v>
      </c>
      <c r="K30" s="21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#2699A5</v>
      </c>
      <c r="L30" s="128">
        <v>0</v>
      </c>
      <c r="M30" s="128">
        <v>149</v>
      </c>
      <c r="N30" s="128">
        <v>183</v>
      </c>
      <c r="O30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30" s="141" t="str">
        <f>INDEX(Crayola[ColorName],MATCH(BiomeColors[[#This Row],[Crayola]],Crayola[Hex],0))</f>
        <v>Blue-Green</v>
      </c>
    </row>
    <row r="31" spans="3:16" x14ac:dyDescent="0.6">
      <c r="C31" s="120" t="s">
        <v>18</v>
      </c>
      <c r="D31" s="120" t="s">
        <v>29</v>
      </c>
      <c r="E31" s="124" t="s">
        <v>61</v>
      </c>
      <c r="F31" s="125">
        <f>ROUNDUP(MATCH(BiomeColors[[#This Row],[Biome]],$V$3:$AN$3,0)/3,0)</f>
        <v>3</v>
      </c>
      <c r="G31" s="125">
        <f>MATCH(BiomeColors[[#This Row],[Month]],$U$4:$U$15,0)</f>
        <v>4</v>
      </c>
      <c r="H31" s="126">
        <f>HEX2DEC(MID(BiomeColors[[#This Row],[Hexvalue]],1,2))</f>
        <v>31</v>
      </c>
      <c r="I31" s="126">
        <f>HEX2DEC(MID(BiomeColors[[#This Row],[Hexvalue]],3,2))</f>
        <v>81</v>
      </c>
      <c r="J31" s="126">
        <f>HEX2DEC(MID(BiomeColors[[#This Row],[Hexvalue]],5,2))</f>
        <v>87</v>
      </c>
      <c r="K31" s="22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#1F5157</v>
      </c>
      <c r="L31" s="128">
        <v>45</v>
      </c>
      <c r="M31" s="128">
        <v>56</v>
      </c>
      <c r="N31" s="128">
        <v>58</v>
      </c>
      <c r="O31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31" s="141" t="str">
        <f>INDEX(Crayola[ColorName],MATCH(BiomeColors[[#This Row],[Crayola]],Crayola[Hex],0))</f>
        <v>Outer Space</v>
      </c>
    </row>
    <row r="32" spans="3:16" x14ac:dyDescent="0.6">
      <c r="C32" s="120" t="s">
        <v>18</v>
      </c>
      <c r="D32" s="120" t="s">
        <v>32</v>
      </c>
      <c r="E32" s="124" t="s">
        <v>62</v>
      </c>
      <c r="F32" s="125">
        <f>ROUNDUP(MATCH(BiomeColors[[#This Row],[Biome]],$V$3:$AN$3,0)/3,0)</f>
        <v>3</v>
      </c>
      <c r="G32" s="125">
        <f>MATCH(BiomeColors[[#This Row],[Month]],$U$4:$U$15,0)</f>
        <v>5</v>
      </c>
      <c r="H32" s="126">
        <f>HEX2DEC(MID(BiomeColors[[#This Row],[Hexvalue]],1,2))</f>
        <v>101</v>
      </c>
      <c r="I32" s="126">
        <f>HEX2DEC(MID(BiomeColors[[#This Row],[Hexvalue]],3,2))</f>
        <v>154</v>
      </c>
      <c r="J32" s="126">
        <f>HEX2DEC(MID(BiomeColors[[#This Row],[Hexvalue]],5,2))</f>
        <v>49</v>
      </c>
      <c r="K32" s="22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#659A31</v>
      </c>
      <c r="L32" s="128">
        <v>123</v>
      </c>
      <c r="M32" s="128">
        <v>160</v>
      </c>
      <c r="N32" s="128">
        <v>91</v>
      </c>
      <c r="O32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32" s="141" t="str">
        <f>INDEX(Crayola[ColorName],MATCH(BiomeColors[[#This Row],[Crayola]],Crayola[Hex],0))</f>
        <v>Asparagus</v>
      </c>
    </row>
    <row r="33" spans="3:16" x14ac:dyDescent="0.6">
      <c r="C33" s="120" t="s">
        <v>18</v>
      </c>
      <c r="D33" s="120" t="s">
        <v>35</v>
      </c>
      <c r="E33" s="124" t="s">
        <v>63</v>
      </c>
      <c r="F33" s="125">
        <f>ROUNDUP(MATCH(BiomeColors[[#This Row],[Biome]],$V$3:$AN$3,0)/3,0)</f>
        <v>3</v>
      </c>
      <c r="G33" s="125">
        <f>MATCH(BiomeColors[[#This Row],[Month]],$U$4:$U$15,0)</f>
        <v>6</v>
      </c>
      <c r="H33" s="126">
        <f>HEX2DEC(MID(BiomeColors[[#This Row],[Hexvalue]],1,2))</f>
        <v>72</v>
      </c>
      <c r="I33" s="126">
        <f>HEX2DEC(MID(BiomeColors[[#This Row],[Hexvalue]],3,2))</f>
        <v>162</v>
      </c>
      <c r="J33" s="126">
        <f>HEX2DEC(MID(BiomeColors[[#This Row],[Hexvalue]],5,2))</f>
        <v>41</v>
      </c>
      <c r="K33" s="22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#48A229</v>
      </c>
      <c r="L33" s="128">
        <v>123</v>
      </c>
      <c r="M33" s="128">
        <v>160</v>
      </c>
      <c r="N33" s="128">
        <v>91</v>
      </c>
      <c r="O33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33" s="141" t="str">
        <f>INDEX(Crayola[ColorName],MATCH(BiomeColors[[#This Row],[Crayola]],Crayola[Hex],0))</f>
        <v>Asparagus</v>
      </c>
    </row>
    <row r="34" spans="3:16" x14ac:dyDescent="0.6">
      <c r="C34" s="120" t="s">
        <v>18</v>
      </c>
      <c r="D34" s="120" t="s">
        <v>38</v>
      </c>
      <c r="E34" s="124" t="s">
        <v>64</v>
      </c>
      <c r="F34" s="125">
        <f>ROUNDUP(MATCH(BiomeColors[[#This Row],[Biome]],$V$3:$AN$3,0)/3,0)</f>
        <v>3</v>
      </c>
      <c r="G34" s="125">
        <f>MATCH(BiomeColors[[#This Row],[Month]],$U$4:$U$15,0)</f>
        <v>7</v>
      </c>
      <c r="H34" s="126">
        <f>HEX2DEC(MID(BiomeColors[[#This Row],[Hexvalue]],1,2))</f>
        <v>97</v>
      </c>
      <c r="I34" s="126">
        <f>HEX2DEC(MID(BiomeColors[[#This Row],[Hexvalue]],3,2))</f>
        <v>154</v>
      </c>
      <c r="J34" s="126">
        <f>HEX2DEC(MID(BiomeColors[[#This Row],[Hexvalue]],5,2))</f>
        <v>49</v>
      </c>
      <c r="K34" s="22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#619A31</v>
      </c>
      <c r="L34" s="128">
        <v>123</v>
      </c>
      <c r="M34" s="128">
        <v>160</v>
      </c>
      <c r="N34" s="128">
        <v>91</v>
      </c>
      <c r="O34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34" s="141" t="str">
        <f>INDEX(Crayola[ColorName],MATCH(BiomeColors[[#This Row],[Crayola]],Crayola[Hex],0))</f>
        <v>Asparagus</v>
      </c>
    </row>
    <row r="35" spans="3:16" x14ac:dyDescent="0.6">
      <c r="C35" s="120" t="s">
        <v>18</v>
      </c>
      <c r="D35" s="120" t="s">
        <v>41</v>
      </c>
      <c r="E35" s="124" t="s">
        <v>65</v>
      </c>
      <c r="F35" s="125">
        <f>ROUNDUP(MATCH(BiomeColors[[#This Row],[Biome]],$V$3:$AN$3,0)/3,0)</f>
        <v>3</v>
      </c>
      <c r="G35" s="125">
        <f>MATCH(BiomeColors[[#This Row],[Month]],$U$4:$U$15,0)</f>
        <v>8</v>
      </c>
      <c r="H35" s="126">
        <f>HEX2DEC(MID(BiomeColors[[#This Row],[Hexvalue]],1,2))</f>
        <v>95</v>
      </c>
      <c r="I35" s="126">
        <f>HEX2DEC(MID(BiomeColors[[#This Row],[Hexvalue]],3,2))</f>
        <v>148</v>
      </c>
      <c r="J35" s="126">
        <f>HEX2DEC(MID(BiomeColors[[#This Row],[Hexvalue]],5,2))</f>
        <v>55</v>
      </c>
      <c r="K35" s="22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#5F9437</v>
      </c>
      <c r="L35" s="128">
        <v>123</v>
      </c>
      <c r="M35" s="128">
        <v>160</v>
      </c>
      <c r="N35" s="128">
        <v>91</v>
      </c>
      <c r="O35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35" s="141" t="str">
        <f>INDEX(Crayola[ColorName],MATCH(BiomeColors[[#This Row],[Crayola]],Crayola[Hex],0))</f>
        <v>Asparagus</v>
      </c>
    </row>
    <row r="36" spans="3:16" x14ac:dyDescent="0.6">
      <c r="C36" s="120" t="s">
        <v>18</v>
      </c>
      <c r="D36" s="120" t="s">
        <v>43</v>
      </c>
      <c r="E36" s="124" t="s">
        <v>66</v>
      </c>
      <c r="F36" s="125">
        <f>ROUNDUP(MATCH(BiomeColors[[#This Row],[Biome]],$V$3:$AN$3,0)/3,0)</f>
        <v>3</v>
      </c>
      <c r="G36" s="125">
        <f>MATCH(BiomeColors[[#This Row],[Month]],$U$4:$U$15,0)</f>
        <v>9</v>
      </c>
      <c r="H36" s="126">
        <f>HEX2DEC(MID(BiomeColors[[#This Row],[Hexvalue]],1,2))</f>
        <v>99</v>
      </c>
      <c r="I36" s="126">
        <f>HEX2DEC(MID(BiomeColors[[#This Row],[Hexvalue]],3,2))</f>
        <v>154</v>
      </c>
      <c r="J36" s="126">
        <f>HEX2DEC(MID(BiomeColors[[#This Row],[Hexvalue]],5,2))</f>
        <v>49</v>
      </c>
      <c r="K36" s="22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#639A31</v>
      </c>
      <c r="L36" s="128">
        <v>123</v>
      </c>
      <c r="M36" s="128">
        <v>160</v>
      </c>
      <c r="N36" s="128">
        <v>91</v>
      </c>
      <c r="O36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36" s="141" t="str">
        <f>INDEX(Crayola[ColorName],MATCH(BiomeColors[[#This Row],[Crayola]],Crayola[Hex],0))</f>
        <v>Asparagus</v>
      </c>
    </row>
    <row r="37" spans="3:16" x14ac:dyDescent="0.6">
      <c r="C37" s="120" t="s">
        <v>18</v>
      </c>
      <c r="D37" s="120" t="s">
        <v>45</v>
      </c>
      <c r="E37" s="124">
        <v>516034</v>
      </c>
      <c r="F37" s="125">
        <f>ROUNDUP(MATCH(BiomeColors[[#This Row],[Biome]],$V$3:$AN$3,0)/3,0)</f>
        <v>3</v>
      </c>
      <c r="G37" s="125">
        <f>MATCH(BiomeColors[[#This Row],[Month]],$U$4:$U$15,0)</f>
        <v>10</v>
      </c>
      <c r="H37" s="126">
        <f>HEX2DEC(MID(BiomeColors[[#This Row],[Hexvalue]],1,2))</f>
        <v>81</v>
      </c>
      <c r="I37" s="126">
        <f>HEX2DEC(MID(BiomeColors[[#This Row],[Hexvalue]],3,2))</f>
        <v>96</v>
      </c>
      <c r="J37" s="126">
        <f>HEX2DEC(MID(BiomeColors[[#This Row],[Hexvalue]],5,2))</f>
        <v>52</v>
      </c>
      <c r="K37" s="22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#516034</v>
      </c>
      <c r="L37" s="128">
        <v>97</v>
      </c>
      <c r="M37" s="128">
        <v>64</v>
      </c>
      <c r="N37" s="128">
        <v>81</v>
      </c>
      <c r="O37" s="22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#614051</v>
      </c>
      <c r="P37" s="141" t="str">
        <f>INDEX(Crayola[ColorName],MATCH(BiomeColors[[#This Row],[Crayola]],Crayola[Hex],0))</f>
        <v>Eggplant</v>
      </c>
    </row>
    <row r="38" spans="3:16" x14ac:dyDescent="0.6">
      <c r="C38" s="120" t="s">
        <v>18</v>
      </c>
      <c r="D38" s="120" t="s">
        <v>46</v>
      </c>
      <c r="E38" s="124">
        <v>515939</v>
      </c>
      <c r="F38" s="125">
        <f>ROUNDUP(MATCH(BiomeColors[[#This Row],[Biome]],$V$3:$AN$3,0)/3,0)</f>
        <v>3</v>
      </c>
      <c r="G38" s="125">
        <f>MATCH(BiomeColors[[#This Row],[Month]],$U$4:$U$15,0)</f>
        <v>11</v>
      </c>
      <c r="H38" s="126">
        <f>HEX2DEC(MID(BiomeColors[[#This Row],[Hexvalue]],1,2))</f>
        <v>81</v>
      </c>
      <c r="I38" s="126">
        <f>HEX2DEC(MID(BiomeColors[[#This Row],[Hexvalue]],3,2))</f>
        <v>89</v>
      </c>
      <c r="J38" s="126">
        <f>HEX2DEC(MID(BiomeColors[[#This Row],[Hexvalue]],5,2))</f>
        <v>57</v>
      </c>
      <c r="K38" s="22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#515939</v>
      </c>
      <c r="L38" s="128">
        <v>97</v>
      </c>
      <c r="M38" s="128">
        <v>64</v>
      </c>
      <c r="N38" s="128">
        <v>81</v>
      </c>
      <c r="O38" s="22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#614051</v>
      </c>
      <c r="P38" s="141" t="str">
        <f>INDEX(Crayola[ColorName],MATCH(BiomeColors[[#This Row],[Crayola]],Crayola[Hex],0))</f>
        <v>Eggplant</v>
      </c>
    </row>
    <row r="39" spans="3:16" x14ac:dyDescent="0.6">
      <c r="C39" s="120" t="s">
        <v>18</v>
      </c>
      <c r="D39" s="120" t="s">
        <v>48</v>
      </c>
      <c r="E39" s="124" t="s">
        <v>67</v>
      </c>
      <c r="F39" s="125">
        <f>ROUNDUP(MATCH(BiomeColors[[#This Row],[Biome]],$V$3:$AN$3,0)/3,0)</f>
        <v>3</v>
      </c>
      <c r="G39" s="125">
        <f>MATCH(BiomeColors[[#This Row],[Month]],$U$4:$U$15,0)</f>
        <v>12</v>
      </c>
      <c r="H39" s="126">
        <f>HEX2DEC(MID(BiomeColors[[#This Row],[Hexvalue]],1,2))</f>
        <v>18</v>
      </c>
      <c r="I39" s="126">
        <f>HEX2DEC(MID(BiomeColors[[#This Row],[Hexvalue]],3,2))</f>
        <v>79</v>
      </c>
      <c r="J39" s="126">
        <f>HEX2DEC(MID(BiomeColors[[#This Row],[Hexvalue]],5,2))</f>
        <v>93</v>
      </c>
      <c r="K39" s="22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#124F5D</v>
      </c>
      <c r="L39" s="128">
        <v>0</v>
      </c>
      <c r="M39" s="128">
        <v>117</v>
      </c>
      <c r="N39" s="128">
        <v>94</v>
      </c>
      <c r="O39" s="140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#00755E</v>
      </c>
      <c r="P39" s="141" t="str">
        <f>INDEX(Crayola[ColorName],MATCH(BiomeColors[[#This Row],[Crayola]],Crayola[Hex],0))</f>
        <v>Tropical Rain Forest</v>
      </c>
    </row>
    <row r="40" spans="3:16" x14ac:dyDescent="0.6">
      <c r="C40" s="120" t="s">
        <v>19</v>
      </c>
      <c r="D40" s="120" t="s">
        <v>23</v>
      </c>
      <c r="E40" s="124" t="s">
        <v>68</v>
      </c>
      <c r="F40" s="125">
        <f>ROUNDUP(MATCH(BiomeColors[[#This Row],[Biome]],$V$3:$AN$3,0)/3,0)</f>
        <v>4</v>
      </c>
      <c r="G40" s="125">
        <f>MATCH(BiomeColors[[#This Row],[Month]],$U$4:$U$15,0)</f>
        <v>1</v>
      </c>
      <c r="H40" s="126">
        <f>HEX2DEC(MID(BiomeColors[[#This Row],[Hexvalue]],1,2))</f>
        <v>77</v>
      </c>
      <c r="I40" s="126">
        <f>HEX2DEC(MID(BiomeColors[[#This Row],[Hexvalue]],3,2))</f>
        <v>105</v>
      </c>
      <c r="J40" s="126">
        <f>HEX2DEC(MID(BiomeColors[[#This Row],[Hexvalue]],5,2))</f>
        <v>56</v>
      </c>
      <c r="K40" s="23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#4D6938</v>
      </c>
      <c r="L40" s="128">
        <v>131</v>
      </c>
      <c r="M40" s="128">
        <v>112</v>
      </c>
      <c r="N40" s="128">
        <v>80</v>
      </c>
      <c r="O40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0" s="141" t="str">
        <f>INDEX(Crayola[ColorName],MATCH(BiomeColors[[#This Row],[Crayola]],Crayola[Hex],0))</f>
        <v>Shadow</v>
      </c>
    </row>
    <row r="41" spans="3:16" x14ac:dyDescent="0.6">
      <c r="C41" s="120" t="s">
        <v>19</v>
      </c>
      <c r="D41" s="120" t="s">
        <v>25</v>
      </c>
      <c r="E41" s="124" t="s">
        <v>69</v>
      </c>
      <c r="F41" s="125">
        <f>ROUNDUP(MATCH(BiomeColors[[#This Row],[Biome]],$V$3:$AN$3,0)/3,0)</f>
        <v>4</v>
      </c>
      <c r="G41" s="125">
        <f>MATCH(BiomeColors[[#This Row],[Month]],$U$4:$U$15,0)</f>
        <v>2</v>
      </c>
      <c r="H41" s="126">
        <f>HEX2DEC(MID(BiomeColors[[#This Row],[Hexvalue]],1,2))</f>
        <v>79</v>
      </c>
      <c r="I41" s="126">
        <f>HEX2DEC(MID(BiomeColors[[#This Row],[Hexvalue]],3,2))</f>
        <v>106</v>
      </c>
      <c r="J41" s="126">
        <f>HEX2DEC(MID(BiomeColors[[#This Row],[Hexvalue]],5,2))</f>
        <v>69</v>
      </c>
      <c r="K41" s="23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#4F6A45</v>
      </c>
      <c r="L41" s="128">
        <v>131</v>
      </c>
      <c r="M41" s="128">
        <v>112</v>
      </c>
      <c r="N41" s="128">
        <v>80</v>
      </c>
      <c r="O41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1" s="141" t="str">
        <f>INDEX(Crayola[ColorName],MATCH(BiomeColors[[#This Row],[Crayola]],Crayola[Hex],0))</f>
        <v>Shadow</v>
      </c>
    </row>
    <row r="42" spans="3:16" x14ac:dyDescent="0.6">
      <c r="C42" s="120" t="s">
        <v>19</v>
      </c>
      <c r="D42" s="120" t="s">
        <v>27</v>
      </c>
      <c r="E42" s="124">
        <v>517138</v>
      </c>
      <c r="F42" s="125">
        <f>ROUNDUP(MATCH(BiomeColors[[#This Row],[Biome]],$V$3:$AN$3,0)/3,0)</f>
        <v>4</v>
      </c>
      <c r="G42" s="125">
        <f>MATCH(BiomeColors[[#This Row],[Month]],$U$4:$U$15,0)</f>
        <v>3</v>
      </c>
      <c r="H42" s="126">
        <f>HEX2DEC(MID(BiomeColors[[#This Row],[Hexvalue]],1,2))</f>
        <v>81</v>
      </c>
      <c r="I42" s="126">
        <f>HEX2DEC(MID(BiomeColors[[#This Row],[Hexvalue]],3,2))</f>
        <v>113</v>
      </c>
      <c r="J42" s="126">
        <f>HEX2DEC(MID(BiomeColors[[#This Row],[Hexvalue]],5,2))</f>
        <v>56</v>
      </c>
      <c r="K42" s="23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#517138</v>
      </c>
      <c r="L42" s="128">
        <v>131</v>
      </c>
      <c r="M42" s="128">
        <v>112</v>
      </c>
      <c r="N42" s="128">
        <v>80</v>
      </c>
      <c r="O42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2" s="141" t="str">
        <f>INDEX(Crayola[ColorName],MATCH(BiomeColors[[#This Row],[Crayola]],Crayola[Hex],0))</f>
        <v>Shadow</v>
      </c>
    </row>
    <row r="43" spans="3:16" x14ac:dyDescent="0.6">
      <c r="C43" s="120" t="s">
        <v>19</v>
      </c>
      <c r="D43" s="120" t="s">
        <v>29</v>
      </c>
      <c r="E43" s="124" t="s">
        <v>70</v>
      </c>
      <c r="F43" s="125">
        <f>ROUNDUP(MATCH(BiomeColors[[#This Row],[Biome]],$V$3:$AN$3,0)/3,0)</f>
        <v>4</v>
      </c>
      <c r="G43" s="125">
        <f>MATCH(BiomeColors[[#This Row],[Month]],$U$4:$U$15,0)</f>
        <v>4</v>
      </c>
      <c r="H43" s="126">
        <f>HEX2DEC(MID(BiomeColors[[#This Row],[Hexvalue]],1,2))</f>
        <v>95</v>
      </c>
      <c r="I43" s="126">
        <f>HEX2DEC(MID(BiomeColors[[#This Row],[Hexvalue]],3,2))</f>
        <v>129</v>
      </c>
      <c r="J43" s="126">
        <f>HEX2DEC(MID(BiomeColors[[#This Row],[Hexvalue]],5,2))</f>
        <v>66</v>
      </c>
      <c r="K43" s="23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#5F8142</v>
      </c>
      <c r="L43" s="128">
        <v>131</v>
      </c>
      <c r="M43" s="128">
        <v>112</v>
      </c>
      <c r="N43" s="128">
        <v>80</v>
      </c>
      <c r="O43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3" s="141" t="str">
        <f>INDEX(Crayola[ColorName],MATCH(BiomeColors[[#This Row],[Crayola]],Crayola[Hex],0))</f>
        <v>Shadow</v>
      </c>
    </row>
    <row r="44" spans="3:16" x14ac:dyDescent="0.6">
      <c r="C44" s="120" t="s">
        <v>19</v>
      </c>
      <c r="D44" s="120" t="s">
        <v>32</v>
      </c>
      <c r="E44" s="124" t="s">
        <v>71</v>
      </c>
      <c r="F44" s="125">
        <f>ROUNDUP(MATCH(BiomeColors[[#This Row],[Biome]],$V$3:$AN$3,0)/3,0)</f>
        <v>4</v>
      </c>
      <c r="G44" s="125">
        <f>MATCH(BiomeColors[[#This Row],[Month]],$U$4:$U$15,0)</f>
        <v>5</v>
      </c>
      <c r="H44" s="126">
        <f>HEX2DEC(MID(BiomeColors[[#This Row],[Hexvalue]],1,2))</f>
        <v>102</v>
      </c>
      <c r="I44" s="126">
        <f>HEX2DEC(MID(BiomeColors[[#This Row],[Hexvalue]],3,2))</f>
        <v>157</v>
      </c>
      <c r="J44" s="126">
        <f>HEX2DEC(MID(BiomeColors[[#This Row],[Hexvalue]],5,2))</f>
        <v>46</v>
      </c>
      <c r="K44" s="23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#669D2E</v>
      </c>
      <c r="L44" s="128">
        <v>123</v>
      </c>
      <c r="M44" s="128">
        <v>160</v>
      </c>
      <c r="N44" s="128">
        <v>91</v>
      </c>
      <c r="O44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44" s="141" t="str">
        <f>INDEX(Crayola[ColorName],MATCH(BiomeColors[[#This Row],[Crayola]],Crayola[Hex],0))</f>
        <v>Asparagus</v>
      </c>
    </row>
    <row r="45" spans="3:16" x14ac:dyDescent="0.6">
      <c r="C45" s="120" t="s">
        <v>19</v>
      </c>
      <c r="D45" s="120" t="s">
        <v>35</v>
      </c>
      <c r="E45" s="124" t="s">
        <v>72</v>
      </c>
      <c r="F45" s="125">
        <f>ROUNDUP(MATCH(BiomeColors[[#This Row],[Biome]],$V$3:$AN$3,0)/3,0)</f>
        <v>4</v>
      </c>
      <c r="G45" s="125">
        <f>MATCH(BiomeColors[[#This Row],[Month]],$U$4:$U$15,0)</f>
        <v>6</v>
      </c>
      <c r="H45" s="126">
        <f>HEX2DEC(MID(BiomeColors[[#This Row],[Hexvalue]],1,2))</f>
        <v>80</v>
      </c>
      <c r="I45" s="126">
        <f>HEX2DEC(MID(BiomeColors[[#This Row],[Hexvalue]],3,2))</f>
        <v>126</v>
      </c>
      <c r="J45" s="126">
        <f>HEX2DEC(MID(BiomeColors[[#This Row],[Hexvalue]],5,2))</f>
        <v>44</v>
      </c>
      <c r="K45" s="23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#507E2C</v>
      </c>
      <c r="L45" s="128">
        <v>131</v>
      </c>
      <c r="M45" s="128">
        <v>112</v>
      </c>
      <c r="N45" s="128">
        <v>80</v>
      </c>
      <c r="O45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5" s="141" t="str">
        <f>INDEX(Crayola[ColorName],MATCH(BiomeColors[[#This Row],[Crayola]],Crayola[Hex],0))</f>
        <v>Shadow</v>
      </c>
    </row>
    <row r="46" spans="3:16" x14ac:dyDescent="0.6">
      <c r="C46" s="120" t="s">
        <v>19</v>
      </c>
      <c r="D46" s="120" t="s">
        <v>38</v>
      </c>
      <c r="E46" s="124" t="s">
        <v>73</v>
      </c>
      <c r="F46" s="125">
        <f>ROUNDUP(MATCH(BiomeColors[[#This Row],[Biome]],$V$3:$AN$3,0)/3,0)</f>
        <v>4</v>
      </c>
      <c r="G46" s="125">
        <f>MATCH(BiomeColors[[#This Row],[Month]],$U$4:$U$15,0)</f>
        <v>7</v>
      </c>
      <c r="H46" s="126">
        <f>HEX2DEC(MID(BiomeColors[[#This Row],[Hexvalue]],1,2))</f>
        <v>96</v>
      </c>
      <c r="I46" s="126">
        <f>HEX2DEC(MID(BiomeColors[[#This Row],[Hexvalue]],3,2))</f>
        <v>133</v>
      </c>
      <c r="J46" s="126">
        <f>HEX2DEC(MID(BiomeColors[[#This Row],[Hexvalue]],5,2))</f>
        <v>60</v>
      </c>
      <c r="K46" s="23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#60853C</v>
      </c>
      <c r="L46" s="128">
        <v>131</v>
      </c>
      <c r="M46" s="128">
        <v>112</v>
      </c>
      <c r="N46" s="128">
        <v>80</v>
      </c>
      <c r="O46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46" s="141" t="str">
        <f>INDEX(Crayola[ColorName],MATCH(BiomeColors[[#This Row],[Crayola]],Crayola[Hex],0))</f>
        <v>Shadow</v>
      </c>
    </row>
    <row r="47" spans="3:16" x14ac:dyDescent="0.6">
      <c r="C47" s="120" t="s">
        <v>19</v>
      </c>
      <c r="D47" s="120" t="s">
        <v>41</v>
      </c>
      <c r="E47" s="121" t="s">
        <v>74</v>
      </c>
      <c r="F47" s="237">
        <f>ROUNDUP(MATCH(BiomeColors[[#This Row],[Biome]],$V$3:$AN$3,0)/3,0)</f>
        <v>4</v>
      </c>
      <c r="G47" s="237">
        <f>MATCH(BiomeColors[[#This Row],[Month]],$U$4:$U$15,0)</f>
        <v>8</v>
      </c>
      <c r="H47" s="122">
        <f>HEX2DEC(MID(BiomeColors[[#This Row],[Hexvalue]],1,2))</f>
        <v>105</v>
      </c>
      <c r="I47" s="122">
        <f>HEX2DEC(MID(BiomeColors[[#This Row],[Hexvalue]],3,2))</f>
        <v>147</v>
      </c>
      <c r="J47" s="122">
        <f>HEX2DEC(MID(BiomeColors[[#This Row],[Hexvalue]],5,2))</f>
        <v>56</v>
      </c>
      <c r="K47" s="30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#699338</v>
      </c>
      <c r="L47" s="128">
        <v>123</v>
      </c>
      <c r="M47" s="128">
        <v>160</v>
      </c>
      <c r="N47" s="128">
        <v>91</v>
      </c>
      <c r="O47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47" s="141" t="str">
        <f>INDEX(Crayola[ColorName],MATCH(BiomeColors[[#This Row],[Crayola]],Crayola[Hex],0))</f>
        <v>Asparagus</v>
      </c>
    </row>
    <row r="48" spans="3:16" x14ac:dyDescent="0.6">
      <c r="C48" s="120" t="s">
        <v>19</v>
      </c>
      <c r="D48" s="120" t="s">
        <v>43</v>
      </c>
      <c r="E48" s="124">
        <v>689437</v>
      </c>
      <c r="F48" s="125">
        <f>ROUNDUP(MATCH(BiomeColors[[#This Row],[Biome]],$V$3:$AN$3,0)/3,0)</f>
        <v>4</v>
      </c>
      <c r="G48" s="125">
        <f>MATCH(BiomeColors[[#This Row],[Month]],$U$4:$U$15,0)</f>
        <v>9</v>
      </c>
      <c r="H48" s="126">
        <f>HEX2DEC(MID(BiomeColors[[#This Row],[Hexvalue]],1,2))</f>
        <v>104</v>
      </c>
      <c r="I48" s="126">
        <f>HEX2DEC(MID(BiomeColors[[#This Row],[Hexvalue]],3,2))</f>
        <v>148</v>
      </c>
      <c r="J48" s="126">
        <f>HEX2DEC(MID(BiomeColors[[#This Row],[Hexvalue]],5,2))</f>
        <v>55</v>
      </c>
      <c r="K48" s="23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#689437</v>
      </c>
      <c r="L48" s="128">
        <v>123</v>
      </c>
      <c r="M48" s="128">
        <v>160</v>
      </c>
      <c r="N48" s="128">
        <v>91</v>
      </c>
      <c r="O48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48" s="141" t="str">
        <f>INDEX(Crayola[ColorName],MATCH(BiomeColors[[#This Row],[Crayola]],Crayola[Hex],0))</f>
        <v>Asparagus</v>
      </c>
    </row>
    <row r="49" spans="3:16" x14ac:dyDescent="0.6">
      <c r="C49" s="120" t="s">
        <v>19</v>
      </c>
      <c r="D49" s="120" t="s">
        <v>45</v>
      </c>
      <c r="E49" s="124">
        <v>669932</v>
      </c>
      <c r="F49" s="125">
        <f>ROUNDUP(MATCH(BiomeColors[[#This Row],[Biome]],$V$3:$AN$3,0)/3,0)</f>
        <v>4</v>
      </c>
      <c r="G49" s="125">
        <f>MATCH(BiomeColors[[#This Row],[Month]],$U$4:$U$15,0)</f>
        <v>10</v>
      </c>
      <c r="H49" s="126">
        <f>HEX2DEC(MID(BiomeColors[[#This Row],[Hexvalue]],1,2))</f>
        <v>102</v>
      </c>
      <c r="I49" s="126">
        <f>HEX2DEC(MID(BiomeColors[[#This Row],[Hexvalue]],3,2))</f>
        <v>153</v>
      </c>
      <c r="J49" s="126">
        <f>HEX2DEC(MID(BiomeColors[[#This Row],[Hexvalue]],5,2))</f>
        <v>50</v>
      </c>
      <c r="K49" s="23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#669932</v>
      </c>
      <c r="L49" s="128">
        <v>123</v>
      </c>
      <c r="M49" s="128">
        <v>160</v>
      </c>
      <c r="N49" s="128">
        <v>91</v>
      </c>
      <c r="O49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49" s="141" t="str">
        <f>INDEX(Crayola[ColorName],MATCH(BiomeColors[[#This Row],[Crayola]],Crayola[Hex],0))</f>
        <v>Asparagus</v>
      </c>
    </row>
    <row r="50" spans="3:16" x14ac:dyDescent="0.6">
      <c r="C50" s="120" t="s">
        <v>19</v>
      </c>
      <c r="D50" s="120" t="s">
        <v>46</v>
      </c>
      <c r="E50" s="124" t="s">
        <v>75</v>
      </c>
      <c r="F50" s="125">
        <f>ROUNDUP(MATCH(BiomeColors[[#This Row],[Biome]],$V$3:$AN$3,0)/3,0)</f>
        <v>4</v>
      </c>
      <c r="G50" s="125">
        <f>MATCH(BiomeColors[[#This Row],[Month]],$U$4:$U$15,0)</f>
        <v>11</v>
      </c>
      <c r="H50" s="126">
        <f>HEX2DEC(MID(BiomeColors[[#This Row],[Hexvalue]],1,2))</f>
        <v>99</v>
      </c>
      <c r="I50" s="126">
        <f>HEX2DEC(MID(BiomeColors[[#This Row],[Hexvalue]],3,2))</f>
        <v>155</v>
      </c>
      <c r="J50" s="126">
        <f>HEX2DEC(MID(BiomeColors[[#This Row],[Hexvalue]],5,2))</f>
        <v>48</v>
      </c>
      <c r="K50" s="24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#639B30</v>
      </c>
      <c r="L50" s="128">
        <v>123</v>
      </c>
      <c r="M50" s="128">
        <v>160</v>
      </c>
      <c r="N50" s="128">
        <v>91</v>
      </c>
      <c r="O50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50" s="141" t="str">
        <f>INDEX(Crayola[ColorName],MATCH(BiomeColors[[#This Row],[Crayola]],Crayola[Hex],0))</f>
        <v>Asparagus</v>
      </c>
    </row>
    <row r="51" spans="3:16" x14ac:dyDescent="0.6">
      <c r="C51" s="120" t="s">
        <v>19</v>
      </c>
      <c r="D51" s="120" t="s">
        <v>48</v>
      </c>
      <c r="E51" s="124" t="s">
        <v>76</v>
      </c>
      <c r="F51" s="125">
        <f>ROUNDUP(MATCH(BiomeColors[[#This Row],[Biome]],$V$3:$AN$3,0)/3,0)</f>
        <v>4</v>
      </c>
      <c r="G51" s="125">
        <f>MATCH(BiomeColors[[#This Row],[Month]],$U$4:$U$15,0)</f>
        <v>12</v>
      </c>
      <c r="H51" s="126">
        <f>HEX2DEC(MID(BiomeColors[[#This Row],[Hexvalue]],1,2))</f>
        <v>77</v>
      </c>
      <c r="I51" s="126">
        <f>HEX2DEC(MID(BiomeColors[[#This Row],[Hexvalue]],3,2))</f>
        <v>105</v>
      </c>
      <c r="J51" s="126">
        <f>HEX2DEC(MID(BiomeColors[[#This Row],[Hexvalue]],5,2))</f>
        <v>54</v>
      </c>
      <c r="K51" s="24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#4D6936</v>
      </c>
      <c r="L51" s="128">
        <v>131</v>
      </c>
      <c r="M51" s="128">
        <v>112</v>
      </c>
      <c r="N51" s="128">
        <v>80</v>
      </c>
      <c r="O51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51" s="141" t="str">
        <f>INDEX(Crayola[ColorName],MATCH(BiomeColors[[#This Row],[Crayola]],Crayola[Hex],0))</f>
        <v>Shadow</v>
      </c>
    </row>
    <row r="52" spans="3:16" x14ac:dyDescent="0.6">
      <c r="C52" s="120" t="s">
        <v>20</v>
      </c>
      <c r="D52" s="120" t="s">
        <v>23</v>
      </c>
      <c r="E52" s="124" t="s">
        <v>77</v>
      </c>
      <c r="F52" s="125">
        <f>ROUNDUP(MATCH(BiomeColors[[#This Row],[Biome]],$V$3:$AN$3,0)/3,0)</f>
        <v>5</v>
      </c>
      <c r="G52" s="125">
        <f>MATCH(BiomeColors[[#This Row],[Month]],$U$4:$U$15,0)</f>
        <v>1</v>
      </c>
      <c r="H52" s="126">
        <f>HEX2DEC(MID(BiomeColors[[#This Row],[Hexvalue]],1,2))</f>
        <v>51</v>
      </c>
      <c r="I52" s="126">
        <f>HEX2DEC(MID(BiomeColors[[#This Row],[Hexvalue]],3,2))</f>
        <v>62</v>
      </c>
      <c r="J52" s="126">
        <f>HEX2DEC(MID(BiomeColors[[#This Row],[Hexvalue]],5,2))</f>
        <v>86</v>
      </c>
      <c r="K52" s="24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#333E56</v>
      </c>
      <c r="L52" s="128">
        <v>45</v>
      </c>
      <c r="M52" s="128">
        <v>56</v>
      </c>
      <c r="N52" s="128">
        <v>58</v>
      </c>
      <c r="O52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52" s="141" t="str">
        <f>INDEX(Crayola[ColorName],MATCH(BiomeColors[[#This Row],[Crayola]],Crayola[Hex],0))</f>
        <v>Outer Space</v>
      </c>
    </row>
    <row r="53" spans="3:16" x14ac:dyDescent="0.6">
      <c r="C53" s="120" t="s">
        <v>20</v>
      </c>
      <c r="D53" s="120" t="s">
        <v>25</v>
      </c>
      <c r="E53" s="124" t="s">
        <v>78</v>
      </c>
      <c r="F53" s="125">
        <f>ROUNDUP(MATCH(BiomeColors[[#This Row],[Biome]],$V$3:$AN$3,0)/3,0)</f>
        <v>5</v>
      </c>
      <c r="G53" s="125">
        <f>MATCH(BiomeColors[[#This Row],[Month]],$U$4:$U$15,0)</f>
        <v>2</v>
      </c>
      <c r="H53" s="126">
        <f>HEX2DEC(MID(BiomeColors[[#This Row],[Hexvalue]],1,2))</f>
        <v>75</v>
      </c>
      <c r="I53" s="126">
        <f>HEX2DEC(MID(BiomeColors[[#This Row],[Hexvalue]],3,2))</f>
        <v>112</v>
      </c>
      <c r="J53" s="126">
        <f>HEX2DEC(MID(BiomeColors[[#This Row],[Hexvalue]],5,2))</f>
        <v>105</v>
      </c>
      <c r="K53" s="24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#4B7069</v>
      </c>
      <c r="L53" s="128">
        <v>131</v>
      </c>
      <c r="M53" s="128">
        <v>112</v>
      </c>
      <c r="N53" s="128">
        <v>80</v>
      </c>
      <c r="O53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53" s="141" t="str">
        <f>INDEX(Crayola[ColorName],MATCH(BiomeColors[[#This Row],[Crayola]],Crayola[Hex],0))</f>
        <v>Shadow</v>
      </c>
    </row>
    <row r="54" spans="3:16" x14ac:dyDescent="0.6">
      <c r="C54" s="120" t="s">
        <v>20</v>
      </c>
      <c r="D54" s="120" t="s">
        <v>27</v>
      </c>
      <c r="E54" s="124">
        <v>497068</v>
      </c>
      <c r="F54" s="125">
        <f>ROUNDUP(MATCH(BiomeColors[[#This Row],[Biome]],$V$3:$AN$3,0)/3,0)</f>
        <v>5</v>
      </c>
      <c r="G54" s="125">
        <f>MATCH(BiomeColors[[#This Row],[Month]],$U$4:$U$15,0)</f>
        <v>3</v>
      </c>
      <c r="H54" s="126">
        <f>HEX2DEC(MID(BiomeColors[[#This Row],[Hexvalue]],1,2))</f>
        <v>73</v>
      </c>
      <c r="I54" s="126">
        <f>HEX2DEC(MID(BiomeColors[[#This Row],[Hexvalue]],3,2))</f>
        <v>112</v>
      </c>
      <c r="J54" s="126">
        <f>HEX2DEC(MID(BiomeColors[[#This Row],[Hexvalue]],5,2))</f>
        <v>104</v>
      </c>
      <c r="K54" s="24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#497068</v>
      </c>
      <c r="L54" s="128">
        <v>131</v>
      </c>
      <c r="M54" s="128">
        <v>112</v>
      </c>
      <c r="N54" s="128">
        <v>80</v>
      </c>
      <c r="O54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54" s="141" t="str">
        <f>INDEX(Crayola[ColorName],MATCH(BiomeColors[[#This Row],[Crayola]],Crayola[Hex],0))</f>
        <v>Shadow</v>
      </c>
    </row>
    <row r="55" spans="3:16" x14ac:dyDescent="0.6">
      <c r="C55" s="120" t="s">
        <v>20</v>
      </c>
      <c r="D55" s="120" t="s">
        <v>29</v>
      </c>
      <c r="E55" s="124" t="s">
        <v>79</v>
      </c>
      <c r="F55" s="125">
        <f>ROUNDUP(MATCH(BiomeColors[[#This Row],[Biome]],$V$3:$AN$3,0)/3,0)</f>
        <v>5</v>
      </c>
      <c r="G55" s="125">
        <f>MATCH(BiomeColors[[#This Row],[Month]],$U$4:$U$15,0)</f>
        <v>4</v>
      </c>
      <c r="H55" s="126">
        <f>HEX2DEC(MID(BiomeColors[[#This Row],[Hexvalue]],1,2))</f>
        <v>69</v>
      </c>
      <c r="I55" s="126">
        <f>HEX2DEC(MID(BiomeColors[[#This Row],[Hexvalue]],3,2))</f>
        <v>134</v>
      </c>
      <c r="J55" s="126">
        <f>HEX2DEC(MID(BiomeColors[[#This Row],[Hexvalue]],5,2))</f>
        <v>124</v>
      </c>
      <c r="K55" s="24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#45867C</v>
      </c>
      <c r="L55" s="128">
        <v>95</v>
      </c>
      <c r="M55" s="128">
        <v>167</v>
      </c>
      <c r="N55" s="128">
        <v>119</v>
      </c>
      <c r="O55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55" s="141" t="str">
        <f>INDEX(Crayola[ColorName],MATCH(BiomeColors[[#This Row],[Crayola]],Crayola[Hex],0))</f>
        <v>Forest Green</v>
      </c>
    </row>
    <row r="56" spans="3:16" x14ac:dyDescent="0.6">
      <c r="C56" s="120" t="s">
        <v>20</v>
      </c>
      <c r="D56" s="120" t="s">
        <v>32</v>
      </c>
      <c r="E56" s="124" t="s">
        <v>359</v>
      </c>
      <c r="F56" s="125">
        <f>ROUNDUP(MATCH(BiomeColors[[#This Row],[Biome]],$V$3:$AN$3,0)/3,0)</f>
        <v>5</v>
      </c>
      <c r="G56" s="125">
        <f>MATCH(BiomeColors[[#This Row],[Month]],$U$4:$U$15,0)</f>
        <v>5</v>
      </c>
      <c r="H56" s="126">
        <f>HEX2DEC(MID(BiomeColors[[#This Row],[Hexvalue]],1,2))</f>
        <v>74</v>
      </c>
      <c r="I56" s="126">
        <f>HEX2DEC(MID(BiomeColors[[#This Row],[Hexvalue]],3,2))</f>
        <v>129</v>
      </c>
      <c r="J56" s="126">
        <f>HEX2DEC(MID(BiomeColors[[#This Row],[Hexvalue]],5,2))</f>
        <v>119</v>
      </c>
      <c r="K56" s="31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#4A8177</v>
      </c>
      <c r="L56" s="128">
        <v>95</v>
      </c>
      <c r="M56" s="128">
        <v>167</v>
      </c>
      <c r="N56" s="128">
        <v>119</v>
      </c>
      <c r="O56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56" s="141" t="str">
        <f>INDEX(Crayola[ColorName],MATCH(BiomeColors[[#This Row],[Crayola]],Crayola[Hex],0))</f>
        <v>Forest Green</v>
      </c>
    </row>
    <row r="57" spans="3:16" x14ac:dyDescent="0.6">
      <c r="C57" s="120" t="s">
        <v>20</v>
      </c>
      <c r="D57" s="120" t="s">
        <v>35</v>
      </c>
      <c r="E57" s="124" t="s">
        <v>359</v>
      </c>
      <c r="F57" s="125">
        <f>ROUNDUP(MATCH(BiomeColors[[#This Row],[Biome]],$V$3:$AN$3,0)/3,0)</f>
        <v>5</v>
      </c>
      <c r="G57" s="125">
        <f>MATCH(BiomeColors[[#This Row],[Month]],$U$4:$U$15,0)</f>
        <v>6</v>
      </c>
      <c r="H57" s="126">
        <f>HEX2DEC(MID(BiomeColors[[#This Row],[Hexvalue]],1,2))</f>
        <v>74</v>
      </c>
      <c r="I57" s="126">
        <f>HEX2DEC(MID(BiomeColors[[#This Row],[Hexvalue]],3,2))</f>
        <v>129</v>
      </c>
      <c r="J57" s="126">
        <f>HEX2DEC(MID(BiomeColors[[#This Row],[Hexvalue]],5,2))</f>
        <v>119</v>
      </c>
      <c r="K57" s="31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#4A8177</v>
      </c>
      <c r="L57" s="128">
        <v>95</v>
      </c>
      <c r="M57" s="128">
        <v>167</v>
      </c>
      <c r="N57" s="128">
        <v>119</v>
      </c>
      <c r="O57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57" s="141" t="str">
        <f>INDEX(Crayola[ColorName],MATCH(BiomeColors[[#This Row],[Crayola]],Crayola[Hex],0))</f>
        <v>Forest Green</v>
      </c>
    </row>
    <row r="58" spans="3:16" x14ac:dyDescent="0.6">
      <c r="C58" s="120" t="s">
        <v>20</v>
      </c>
      <c r="D58" s="120" t="s">
        <v>38</v>
      </c>
      <c r="E58" s="247">
        <v>428982</v>
      </c>
      <c r="F58" s="125">
        <f>ROUNDUP(MATCH(BiomeColors[[#This Row],[Biome]],$V$3:$AN$3,0)/3,0)</f>
        <v>5</v>
      </c>
      <c r="G58" s="125">
        <f>MATCH(BiomeColors[[#This Row],[Month]],$U$4:$U$15,0)</f>
        <v>7</v>
      </c>
      <c r="H58" s="247">
        <f>HEX2DEC(MID(BiomeColors[[#This Row],[Hexvalue]],1,2))</f>
        <v>66</v>
      </c>
      <c r="I58" s="247">
        <f>HEX2DEC(MID(BiomeColors[[#This Row],[Hexvalue]],3,2))</f>
        <v>137</v>
      </c>
      <c r="J58" s="247">
        <f>HEX2DEC(MID(BiomeColors[[#This Row],[Hexvalue]],5,2))</f>
        <v>130</v>
      </c>
      <c r="K58" s="24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#428982</v>
      </c>
      <c r="L58" s="128">
        <v>95</v>
      </c>
      <c r="M58" s="128">
        <v>167</v>
      </c>
      <c r="N58" s="128">
        <v>119</v>
      </c>
      <c r="O58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58" s="141" t="str">
        <f>INDEX(Crayola[ColorName],MATCH(BiomeColors[[#This Row],[Crayola]],Crayola[Hex],0))</f>
        <v>Forest Green</v>
      </c>
    </row>
    <row r="59" spans="3:16" x14ac:dyDescent="0.6">
      <c r="C59" s="120" t="s">
        <v>20</v>
      </c>
      <c r="D59" s="120" t="s">
        <v>41</v>
      </c>
      <c r="E59" s="247">
        <v>428984</v>
      </c>
      <c r="F59" s="125">
        <f>ROUNDUP(MATCH(BiomeColors[[#This Row],[Biome]],$V$3:$AN$3,0)/3,0)</f>
        <v>5</v>
      </c>
      <c r="G59" s="125">
        <f>MATCH(BiomeColors[[#This Row],[Month]],$U$4:$U$15,0)</f>
        <v>8</v>
      </c>
      <c r="H59" s="247">
        <f>HEX2DEC(MID(BiomeColors[[#This Row],[Hexvalue]],1,2))</f>
        <v>66</v>
      </c>
      <c r="I59" s="247">
        <f>HEX2DEC(MID(BiomeColors[[#This Row],[Hexvalue]],3,2))</f>
        <v>137</v>
      </c>
      <c r="J59" s="247">
        <f>HEX2DEC(MID(BiomeColors[[#This Row],[Hexvalue]],5,2))</f>
        <v>132</v>
      </c>
      <c r="K59" s="24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#428984</v>
      </c>
      <c r="L59" s="128">
        <v>95</v>
      </c>
      <c r="M59" s="128">
        <v>167</v>
      </c>
      <c r="N59" s="128">
        <v>119</v>
      </c>
      <c r="O59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59" s="141" t="str">
        <f>INDEX(Crayola[ColorName],MATCH(BiomeColors[[#This Row],[Crayola]],Crayola[Hex],0))</f>
        <v>Forest Green</v>
      </c>
    </row>
    <row r="60" spans="3:16" x14ac:dyDescent="0.6">
      <c r="C60" s="120" t="s">
        <v>20</v>
      </c>
      <c r="D60" s="120" t="s">
        <v>43</v>
      </c>
      <c r="E60" s="247" t="s">
        <v>80</v>
      </c>
      <c r="F60" s="125">
        <f>ROUNDUP(MATCH(BiomeColors[[#This Row],[Biome]],$V$3:$AN$3,0)/3,0)</f>
        <v>5</v>
      </c>
      <c r="G60" s="125">
        <f>MATCH(BiomeColors[[#This Row],[Month]],$U$4:$U$15,0)</f>
        <v>9</v>
      </c>
      <c r="H60" s="247">
        <f>HEX2DEC(MID(BiomeColors[[#This Row],[Hexvalue]],1,2))</f>
        <v>69</v>
      </c>
      <c r="I60" s="247">
        <f>HEX2DEC(MID(BiomeColors[[#This Row],[Hexvalue]],3,2))</f>
        <v>134</v>
      </c>
      <c r="J60" s="247">
        <f>HEX2DEC(MID(BiomeColors[[#This Row],[Hexvalue]],5,2))</f>
        <v>126</v>
      </c>
      <c r="K60" s="25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#45867E</v>
      </c>
      <c r="L60" s="128">
        <v>95</v>
      </c>
      <c r="M60" s="128">
        <v>167</v>
      </c>
      <c r="N60" s="128">
        <v>119</v>
      </c>
      <c r="O60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60" s="141" t="str">
        <f>INDEX(Crayola[ColorName],MATCH(BiomeColors[[#This Row],[Crayola]],Crayola[Hex],0))</f>
        <v>Forest Green</v>
      </c>
    </row>
    <row r="61" spans="3:16" x14ac:dyDescent="0.6">
      <c r="C61" s="120" t="s">
        <v>20</v>
      </c>
      <c r="D61" s="120" t="s">
        <v>45</v>
      </c>
      <c r="E61" s="247" t="s">
        <v>81</v>
      </c>
      <c r="F61" s="125">
        <f>ROUNDUP(MATCH(BiomeColors[[#This Row],[Biome]],$V$3:$AN$3,0)/3,0)</f>
        <v>5</v>
      </c>
      <c r="G61" s="125">
        <f>MATCH(BiomeColors[[#This Row],[Month]],$U$4:$U$15,0)</f>
        <v>10</v>
      </c>
      <c r="H61" s="247">
        <f>HEX2DEC(MID(BiomeColors[[#This Row],[Hexvalue]],1,2))</f>
        <v>74</v>
      </c>
      <c r="I61" s="247">
        <f>HEX2DEC(MID(BiomeColors[[#This Row],[Hexvalue]],3,2))</f>
        <v>129</v>
      </c>
      <c r="J61" s="247">
        <f>HEX2DEC(MID(BiomeColors[[#This Row],[Hexvalue]],5,2))</f>
        <v>117</v>
      </c>
      <c r="K61" s="25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#4A8175</v>
      </c>
      <c r="L61" s="128">
        <v>95</v>
      </c>
      <c r="M61" s="128">
        <v>167</v>
      </c>
      <c r="N61" s="128">
        <v>119</v>
      </c>
      <c r="O61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61" s="141" t="str">
        <f>INDEX(Crayola[ColorName],MATCH(BiomeColors[[#This Row],[Crayola]],Crayola[Hex],0))</f>
        <v>Forest Green</v>
      </c>
    </row>
    <row r="62" spans="3:16" x14ac:dyDescent="0.6">
      <c r="C62" s="120" t="s">
        <v>20</v>
      </c>
      <c r="D62" s="120" t="s">
        <v>46</v>
      </c>
      <c r="E62" s="247">
        <v>203859</v>
      </c>
      <c r="F62" s="125">
        <f>ROUNDUP(MATCH(BiomeColors[[#This Row],[Biome]],$V$3:$AN$3,0)/3,0)</f>
        <v>5</v>
      </c>
      <c r="G62" s="125">
        <f>MATCH(BiomeColors[[#This Row],[Month]],$U$4:$U$15,0)</f>
        <v>11</v>
      </c>
      <c r="H62" s="247">
        <f>HEX2DEC(MID(BiomeColors[[#This Row],[Hexvalue]],1,2))</f>
        <v>32</v>
      </c>
      <c r="I62" s="247">
        <f>HEX2DEC(MID(BiomeColors[[#This Row],[Hexvalue]],3,2))</f>
        <v>56</v>
      </c>
      <c r="J62" s="247">
        <f>HEX2DEC(MID(BiomeColors[[#This Row],[Hexvalue]],5,2))</f>
        <v>89</v>
      </c>
      <c r="K62" s="25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#203859</v>
      </c>
      <c r="L62" s="128">
        <v>45</v>
      </c>
      <c r="M62" s="128">
        <v>56</v>
      </c>
      <c r="N62" s="128">
        <v>58</v>
      </c>
      <c r="O62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62" s="141" t="str">
        <f>INDEX(Crayola[ColorName],MATCH(BiomeColors[[#This Row],[Crayola]],Crayola[Hex],0))</f>
        <v>Outer Space</v>
      </c>
    </row>
    <row r="63" spans="3:16" x14ac:dyDescent="0.6">
      <c r="C63" s="120" t="s">
        <v>20</v>
      </c>
      <c r="D63" s="120" t="s">
        <v>48</v>
      </c>
      <c r="E63" s="247" t="s">
        <v>82</v>
      </c>
      <c r="F63" s="125">
        <f>ROUNDUP(MATCH(BiomeColors[[#This Row],[Biome]],$V$3:$AN$3,0)/3,0)</f>
        <v>5</v>
      </c>
      <c r="G63" s="125">
        <f>MATCH(BiomeColors[[#This Row],[Month]],$U$4:$U$15,0)</f>
        <v>12</v>
      </c>
      <c r="H63" s="247">
        <f>HEX2DEC(MID(BiomeColors[[#This Row],[Hexvalue]],1,2))</f>
        <v>75</v>
      </c>
      <c r="I63" s="247">
        <f>HEX2DEC(MID(BiomeColors[[#This Row],[Hexvalue]],3,2))</f>
        <v>128</v>
      </c>
      <c r="J63" s="247">
        <f>HEX2DEC(MID(BiomeColors[[#This Row],[Hexvalue]],5,2))</f>
        <v>113</v>
      </c>
      <c r="K63" s="25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#4B8071</v>
      </c>
      <c r="L63" s="128">
        <v>95</v>
      </c>
      <c r="M63" s="128">
        <v>167</v>
      </c>
      <c r="N63" s="128">
        <v>119</v>
      </c>
      <c r="O63" s="246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#5FA777</v>
      </c>
      <c r="P63" s="141" t="str">
        <f>INDEX(Crayola[ColorName],MATCH(BiomeColors[[#This Row],[Crayola]],Crayola[Hex],0))</f>
        <v>Forest Green</v>
      </c>
    </row>
    <row r="64" spans="3:16" x14ac:dyDescent="0.6">
      <c r="C64" s="120" t="s">
        <v>21</v>
      </c>
      <c r="D64" s="120" t="s">
        <v>23</v>
      </c>
      <c r="E64" s="247" t="s">
        <v>83</v>
      </c>
      <c r="F64" s="125">
        <f>ROUNDUP(MATCH(BiomeColors[[#This Row],[Biome]],$V$3:$AN$3,0)/3,0)</f>
        <v>6</v>
      </c>
      <c r="G64" s="125">
        <f>MATCH(BiomeColors[[#This Row],[Month]],$U$4:$U$15,0)</f>
        <v>1</v>
      </c>
      <c r="H64" s="247">
        <f>HEX2DEC(MID(BiomeColors[[#This Row],[Hexvalue]],1,2))</f>
        <v>40</v>
      </c>
      <c r="I64" s="247">
        <f>HEX2DEC(MID(BiomeColors[[#This Row],[Hexvalue]],3,2))</f>
        <v>163</v>
      </c>
      <c r="J64" s="247">
        <f>HEX2DEC(MID(BiomeColors[[#This Row],[Hexvalue]],5,2))</f>
        <v>151</v>
      </c>
      <c r="K64" s="25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#28A397</v>
      </c>
      <c r="L64" s="128">
        <v>41</v>
      </c>
      <c r="M64" s="128">
        <v>171</v>
      </c>
      <c r="N64" s="128">
        <v>135</v>
      </c>
      <c r="O64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64" s="141" t="str">
        <f>INDEX(Crayola[ColorName],MATCH(BiomeColors[[#This Row],[Crayola]],Crayola[Hex],0))</f>
        <v>Jungle Green</v>
      </c>
    </row>
    <row r="65" spans="3:16" x14ac:dyDescent="0.6">
      <c r="C65" s="120" t="s">
        <v>21</v>
      </c>
      <c r="D65" s="120" t="s">
        <v>25</v>
      </c>
      <c r="E65" s="247" t="s">
        <v>84</v>
      </c>
      <c r="F65" s="125">
        <f>ROUNDUP(MATCH(BiomeColors[[#This Row],[Biome]],$V$3:$AN$3,0)/3,0)</f>
        <v>6</v>
      </c>
      <c r="G65" s="125">
        <f>MATCH(BiomeColors[[#This Row],[Month]],$U$4:$U$15,0)</f>
        <v>2</v>
      </c>
      <c r="H65" s="247">
        <f>HEX2DEC(MID(BiomeColors[[#This Row],[Hexvalue]],1,2))</f>
        <v>108</v>
      </c>
      <c r="I65" s="247">
        <f>HEX2DEC(MID(BiomeColors[[#This Row],[Hexvalue]],3,2))</f>
        <v>105</v>
      </c>
      <c r="J65" s="247">
        <f>HEX2DEC(MID(BiomeColors[[#This Row],[Hexvalue]],5,2))</f>
        <v>72</v>
      </c>
      <c r="K65" s="25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#6C6948</v>
      </c>
      <c r="L65" s="128">
        <v>131</v>
      </c>
      <c r="M65" s="128">
        <v>112</v>
      </c>
      <c r="N65" s="128">
        <v>80</v>
      </c>
      <c r="O65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65" s="141" t="str">
        <f>INDEX(Crayola[ColorName],MATCH(BiomeColors[[#This Row],[Crayola]],Crayola[Hex],0))</f>
        <v>Shadow</v>
      </c>
    </row>
    <row r="66" spans="3:16" x14ac:dyDescent="0.6">
      <c r="C66" s="120" t="s">
        <v>21</v>
      </c>
      <c r="D66" s="120" t="s">
        <v>27</v>
      </c>
      <c r="E66" s="247">
        <v>467161</v>
      </c>
      <c r="F66" s="125">
        <f>ROUNDUP(MATCH(BiomeColors[[#This Row],[Biome]],$V$3:$AN$3,0)/3,0)</f>
        <v>6</v>
      </c>
      <c r="G66" s="125">
        <f>MATCH(BiomeColors[[#This Row],[Month]],$U$4:$U$15,0)</f>
        <v>3</v>
      </c>
      <c r="H66" s="247">
        <f>HEX2DEC(MID(BiomeColors[[#This Row],[Hexvalue]],1,2))</f>
        <v>70</v>
      </c>
      <c r="I66" s="247">
        <f>HEX2DEC(MID(BiomeColors[[#This Row],[Hexvalue]],3,2))</f>
        <v>113</v>
      </c>
      <c r="J66" s="247">
        <f>HEX2DEC(MID(BiomeColors[[#This Row],[Hexvalue]],5,2))</f>
        <v>97</v>
      </c>
      <c r="K66" s="25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#467161</v>
      </c>
      <c r="L66" s="128">
        <v>131</v>
      </c>
      <c r="M66" s="128">
        <v>112</v>
      </c>
      <c r="N66" s="128">
        <v>80</v>
      </c>
      <c r="O66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66" s="141" t="str">
        <f>INDEX(Crayola[ColorName],MATCH(BiomeColors[[#This Row],[Crayola]],Crayola[Hex],0))</f>
        <v>Shadow</v>
      </c>
    </row>
    <row r="67" spans="3:16" x14ac:dyDescent="0.6">
      <c r="C67" s="120" t="s">
        <v>21</v>
      </c>
      <c r="D67" s="120" t="s">
        <v>29</v>
      </c>
      <c r="E67" s="247" t="s">
        <v>85</v>
      </c>
      <c r="F67" s="125">
        <f>ROUNDUP(MATCH(BiomeColors[[#This Row],[Biome]],$V$3:$AN$3,0)/3,0)</f>
        <v>6</v>
      </c>
      <c r="G67" s="125">
        <f>MATCH(BiomeColors[[#This Row],[Month]],$U$4:$U$15,0)</f>
        <v>4</v>
      </c>
      <c r="H67" s="247">
        <f>HEX2DEC(MID(BiomeColors[[#This Row],[Hexvalue]],1,2))</f>
        <v>88</v>
      </c>
      <c r="I67" s="247">
        <f>HEX2DEC(MID(BiomeColors[[#This Row],[Hexvalue]],3,2))</f>
        <v>155</v>
      </c>
      <c r="J67" s="247">
        <f>HEX2DEC(MID(BiomeColors[[#This Row],[Hexvalue]],5,2))</f>
        <v>48</v>
      </c>
      <c r="K67" s="25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#589B30</v>
      </c>
      <c r="L67" s="128">
        <v>123</v>
      </c>
      <c r="M67" s="128">
        <v>160</v>
      </c>
      <c r="N67" s="128">
        <v>91</v>
      </c>
      <c r="O67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67" s="141" t="str">
        <f>INDEX(Crayola[ColorName],MATCH(BiomeColors[[#This Row],[Crayola]],Crayola[Hex],0))</f>
        <v>Asparagus</v>
      </c>
    </row>
    <row r="68" spans="3:16" x14ac:dyDescent="0.6">
      <c r="C68" s="120" t="s">
        <v>21</v>
      </c>
      <c r="D68" s="120" t="s">
        <v>32</v>
      </c>
      <c r="E68" s="247" t="s">
        <v>86</v>
      </c>
      <c r="F68" s="125">
        <f>ROUNDUP(MATCH(BiomeColors[[#This Row],[Biome]],$V$3:$AN$3,0)/3,0)</f>
        <v>6</v>
      </c>
      <c r="G68" s="125">
        <f>MATCH(BiomeColors[[#This Row],[Month]],$U$4:$U$15,0)</f>
        <v>5</v>
      </c>
      <c r="H68" s="247">
        <f>HEX2DEC(MID(BiomeColors[[#This Row],[Hexvalue]],1,2))</f>
        <v>78</v>
      </c>
      <c r="I68" s="247">
        <f>HEX2DEC(MID(BiomeColors[[#This Row],[Hexvalue]],3,2))</f>
        <v>161</v>
      </c>
      <c r="J68" s="247">
        <f>HEX2DEC(MID(BiomeColors[[#This Row],[Hexvalue]],5,2))</f>
        <v>42</v>
      </c>
      <c r="K68" s="25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#4EA12A</v>
      </c>
      <c r="L68" s="128">
        <v>123</v>
      </c>
      <c r="M68" s="128">
        <v>160</v>
      </c>
      <c r="N68" s="128">
        <v>91</v>
      </c>
      <c r="O68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68" s="141" t="str">
        <f>INDEX(Crayola[ColorName],MATCH(BiomeColors[[#This Row],[Crayola]],Crayola[Hex],0))</f>
        <v>Asparagus</v>
      </c>
    </row>
    <row r="69" spans="3:16" x14ac:dyDescent="0.6">
      <c r="C69" s="120" t="s">
        <v>21</v>
      </c>
      <c r="D69" s="120" t="s">
        <v>35</v>
      </c>
      <c r="E69" s="247" t="s">
        <v>87</v>
      </c>
      <c r="F69" s="125">
        <f>ROUNDUP(MATCH(BiomeColors[[#This Row],[Biome]],$V$3:$AN$3,0)/3,0)</f>
        <v>6</v>
      </c>
      <c r="G69" s="125">
        <f>MATCH(BiomeColors[[#This Row],[Month]],$U$4:$U$15,0)</f>
        <v>6</v>
      </c>
      <c r="H69" s="247">
        <f>HEX2DEC(MID(BiomeColors[[#This Row],[Hexvalue]],1,2))</f>
        <v>99</v>
      </c>
      <c r="I69" s="247">
        <f>HEX2DEC(MID(BiomeColors[[#This Row],[Hexvalue]],3,2))</f>
        <v>158</v>
      </c>
      <c r="J69" s="247">
        <f>HEX2DEC(MID(BiomeColors[[#This Row],[Hexvalue]],5,2))</f>
        <v>45</v>
      </c>
      <c r="K69" s="25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#639E2D</v>
      </c>
      <c r="L69" s="128">
        <v>123</v>
      </c>
      <c r="M69" s="128">
        <v>160</v>
      </c>
      <c r="N69" s="128">
        <v>91</v>
      </c>
      <c r="O69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69" s="141" t="str">
        <f>INDEX(Crayola[ColorName],MATCH(BiomeColors[[#This Row],[Crayola]],Crayola[Hex],0))</f>
        <v>Asparagus</v>
      </c>
    </row>
    <row r="70" spans="3:16" x14ac:dyDescent="0.6">
      <c r="C70" s="120" t="s">
        <v>21</v>
      </c>
      <c r="D70" s="120" t="s">
        <v>38</v>
      </c>
      <c r="E70" s="247" t="s">
        <v>88</v>
      </c>
      <c r="F70" s="125">
        <f>ROUNDUP(MATCH(BiomeColors[[#This Row],[Biome]],$V$3:$AN$3,0)/3,0)</f>
        <v>6</v>
      </c>
      <c r="G70" s="125">
        <f>MATCH(BiomeColors[[#This Row],[Month]],$U$4:$U$15,0)</f>
        <v>7</v>
      </c>
      <c r="H70" s="247">
        <f>HEX2DEC(MID(BiomeColors[[#This Row],[Hexvalue]],1,2))</f>
        <v>77</v>
      </c>
      <c r="I70" s="247">
        <f>HEX2DEC(MID(BiomeColors[[#This Row],[Hexvalue]],3,2))</f>
        <v>163</v>
      </c>
      <c r="J70" s="247">
        <f>HEX2DEC(MID(BiomeColors[[#This Row],[Hexvalue]],5,2))</f>
        <v>40</v>
      </c>
      <c r="K70" s="26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#4DA328</v>
      </c>
      <c r="L70" s="128">
        <v>123</v>
      </c>
      <c r="M70" s="128">
        <v>160</v>
      </c>
      <c r="N70" s="128">
        <v>91</v>
      </c>
      <c r="O70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70" s="141" t="str">
        <f>INDEX(Crayola[ColorName],MATCH(BiomeColors[[#This Row],[Crayola]],Crayola[Hex],0))</f>
        <v>Asparagus</v>
      </c>
    </row>
    <row r="71" spans="3:16" x14ac:dyDescent="0.6">
      <c r="C71" s="120" t="s">
        <v>21</v>
      </c>
      <c r="D71" s="120" t="s">
        <v>41</v>
      </c>
      <c r="E71" s="247" t="s">
        <v>88</v>
      </c>
      <c r="F71" s="125">
        <f>ROUNDUP(MATCH(BiomeColors[[#This Row],[Biome]],$V$3:$AN$3,0)/3,0)</f>
        <v>6</v>
      </c>
      <c r="G71" s="125">
        <f>MATCH(BiomeColors[[#This Row],[Month]],$U$4:$U$15,0)</f>
        <v>8</v>
      </c>
      <c r="H71" s="247">
        <f>HEX2DEC(MID(BiomeColors[[#This Row],[Hexvalue]],1,2))</f>
        <v>77</v>
      </c>
      <c r="I71" s="247">
        <f>HEX2DEC(MID(BiomeColors[[#This Row],[Hexvalue]],3,2))</f>
        <v>163</v>
      </c>
      <c r="J71" s="247">
        <f>HEX2DEC(MID(BiomeColors[[#This Row],[Hexvalue]],5,2))</f>
        <v>40</v>
      </c>
      <c r="K71" s="26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#4DA328</v>
      </c>
      <c r="L71" s="128">
        <v>123</v>
      </c>
      <c r="M71" s="128">
        <v>160</v>
      </c>
      <c r="N71" s="128">
        <v>91</v>
      </c>
      <c r="O71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71" s="141" t="str">
        <f>INDEX(Crayola[ColorName],MATCH(BiomeColors[[#This Row],[Crayola]],Crayola[Hex],0))</f>
        <v>Asparagus</v>
      </c>
    </row>
    <row r="72" spans="3:16" x14ac:dyDescent="0.6">
      <c r="C72" s="120" t="s">
        <v>21</v>
      </c>
      <c r="D72" s="120" t="s">
        <v>43</v>
      </c>
      <c r="E72" s="261" t="s">
        <v>89</v>
      </c>
      <c r="F72" s="125">
        <f>ROUNDUP(MATCH(BiomeColors[[#This Row],[Biome]],$V$3:$AN$3,0)/3,0)</f>
        <v>6</v>
      </c>
      <c r="G72" s="125">
        <f>MATCH(BiomeColors[[#This Row],[Month]],$U$4:$U$15,0)</f>
        <v>9</v>
      </c>
      <c r="H72" s="126">
        <f>HEX2DEC(MID(BiomeColors[[#This Row],[Hexvalue]],1,2))</f>
        <v>78</v>
      </c>
      <c r="I72" s="126">
        <f>HEX2DEC(MID(BiomeColors[[#This Row],[Hexvalue]],3,2))</f>
        <v>114</v>
      </c>
      <c r="J72" s="126">
        <f>HEX2DEC(MID(BiomeColors[[#This Row],[Hexvalue]],5,2))</f>
        <v>41</v>
      </c>
      <c r="K72" s="26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#4E7229</v>
      </c>
      <c r="L72" s="128">
        <v>131</v>
      </c>
      <c r="M72" s="128">
        <v>112</v>
      </c>
      <c r="N72" s="128">
        <v>80</v>
      </c>
      <c r="O72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72" s="141" t="str">
        <f>INDEX(Crayola[ColorName],MATCH(BiomeColors[[#This Row],[Crayola]],Crayola[Hex],0))</f>
        <v>Shadow</v>
      </c>
    </row>
    <row r="73" spans="3:16" x14ac:dyDescent="0.6">
      <c r="C73" s="120" t="s">
        <v>21</v>
      </c>
      <c r="D73" s="120" t="s">
        <v>45</v>
      </c>
      <c r="E73" s="247" t="s">
        <v>90</v>
      </c>
      <c r="F73" s="125">
        <f>ROUNDUP(MATCH(BiomeColors[[#This Row],[Biome]],$V$3:$AN$3,0)/3,0)</f>
        <v>6</v>
      </c>
      <c r="G73" s="125">
        <f>MATCH(BiomeColors[[#This Row],[Month]],$U$4:$U$15,0)</f>
        <v>10</v>
      </c>
      <c r="H73" s="247">
        <f>HEX2DEC(MID(BiomeColors[[#This Row],[Hexvalue]],1,2))</f>
        <v>76</v>
      </c>
      <c r="I73" s="247">
        <f>HEX2DEC(MID(BiomeColors[[#This Row],[Hexvalue]],3,2))</f>
        <v>103</v>
      </c>
      <c r="J73" s="247">
        <f>HEX2DEC(MID(BiomeColors[[#This Row],[Hexvalue]],5,2))</f>
        <v>46</v>
      </c>
      <c r="K73" s="26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#4C672E</v>
      </c>
      <c r="L73" s="128">
        <v>131</v>
      </c>
      <c r="M73" s="128">
        <v>112</v>
      </c>
      <c r="N73" s="128">
        <v>80</v>
      </c>
      <c r="O73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73" s="141" t="str">
        <f>INDEX(Crayola[ColorName],MATCH(BiomeColors[[#This Row],[Crayola]],Crayola[Hex],0))</f>
        <v>Shadow</v>
      </c>
    </row>
    <row r="74" spans="3:16" x14ac:dyDescent="0.6">
      <c r="C74" s="120" t="s">
        <v>21</v>
      </c>
      <c r="D74" s="120" t="s">
        <v>46</v>
      </c>
      <c r="E74" s="247" t="s">
        <v>91</v>
      </c>
      <c r="F74" s="125">
        <f>ROUNDUP(MATCH(BiomeColors[[#This Row],[Biome]],$V$3:$AN$3,0)/3,0)</f>
        <v>6</v>
      </c>
      <c r="G74" s="125">
        <f>MATCH(BiomeColors[[#This Row],[Month]],$U$4:$U$15,0)</f>
        <v>11</v>
      </c>
      <c r="H74" s="247">
        <f>HEX2DEC(MID(BiomeColors[[#This Row],[Hexvalue]],1,2))</f>
        <v>93</v>
      </c>
      <c r="I74" s="247">
        <f>HEX2DEC(MID(BiomeColors[[#This Row],[Hexvalue]],3,2))</f>
        <v>149</v>
      </c>
      <c r="J74" s="247">
        <f>HEX2DEC(MID(BiomeColors[[#This Row],[Hexvalue]],5,2))</f>
        <v>54</v>
      </c>
      <c r="K74" s="264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#5D9536</v>
      </c>
      <c r="L74" s="128">
        <v>123</v>
      </c>
      <c r="M74" s="128">
        <v>160</v>
      </c>
      <c r="N74" s="128">
        <v>91</v>
      </c>
      <c r="O74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74" s="141" t="str">
        <f>INDEX(Crayola[ColorName],MATCH(BiomeColors[[#This Row],[Crayola]],Crayola[Hex],0))</f>
        <v>Asparagus</v>
      </c>
    </row>
    <row r="75" spans="3:16" x14ac:dyDescent="0.6">
      <c r="C75" s="120" t="s">
        <v>21</v>
      </c>
      <c r="D75" s="120" t="s">
        <v>48</v>
      </c>
      <c r="E75" s="247" t="s">
        <v>92</v>
      </c>
      <c r="F75" s="125">
        <f>ROUNDUP(MATCH(BiomeColors[[#This Row],[Biome]],$V$3:$AN$3,0)/3,0)</f>
        <v>6</v>
      </c>
      <c r="G75" s="125">
        <f>MATCH(BiomeColors[[#This Row],[Month]],$U$4:$U$15,0)</f>
        <v>12</v>
      </c>
      <c r="H75" s="247">
        <f>HEX2DEC(MID(BiomeColors[[#This Row],[Hexvalue]],1,2))</f>
        <v>79</v>
      </c>
      <c r="I75" s="247">
        <f>HEX2DEC(MID(BiomeColors[[#This Row],[Hexvalue]],3,2))</f>
        <v>91</v>
      </c>
      <c r="J75" s="247">
        <f>HEX2DEC(MID(BiomeColors[[#This Row],[Hexvalue]],5,2))</f>
        <v>53</v>
      </c>
      <c r="K75" s="265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#4F5B35</v>
      </c>
      <c r="L75" s="128">
        <v>97</v>
      </c>
      <c r="M75" s="128">
        <v>64</v>
      </c>
      <c r="N75" s="128">
        <v>81</v>
      </c>
      <c r="O75" s="22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#614051</v>
      </c>
      <c r="P75" s="141" t="str">
        <f>INDEX(Crayola[ColorName],MATCH(BiomeColors[[#This Row],[Crayola]],Crayola[Hex],0))</f>
        <v>Eggplant</v>
      </c>
    </row>
    <row r="76" spans="3:16" x14ac:dyDescent="0.6">
      <c r="C76" s="120" t="s">
        <v>22</v>
      </c>
      <c r="D76" s="120" t="s">
        <v>23</v>
      </c>
      <c r="E76" s="247" t="s">
        <v>93</v>
      </c>
      <c r="F76" s="125">
        <f>ROUNDUP(MATCH(BiomeColors[[#This Row],[Biome]],$V$3:$AN$3,0)/3,0)</f>
        <v>7</v>
      </c>
      <c r="G76" s="125">
        <f>MATCH(BiomeColors[[#This Row],[Month]],$U$4:$U$15,0)</f>
        <v>1</v>
      </c>
      <c r="H76" s="247">
        <f>HEX2DEC(MID(BiomeColors[[#This Row],[Hexvalue]],1,2))</f>
        <v>44</v>
      </c>
      <c r="I76" s="247">
        <f>HEX2DEC(MID(BiomeColors[[#This Row],[Hexvalue]],3,2))</f>
        <v>159</v>
      </c>
      <c r="J76" s="247">
        <f>HEX2DEC(MID(BiomeColors[[#This Row],[Hexvalue]],5,2))</f>
        <v>149</v>
      </c>
      <c r="K76" s="266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#2C9F95</v>
      </c>
      <c r="L76" s="128">
        <v>41</v>
      </c>
      <c r="M76" s="128">
        <v>171</v>
      </c>
      <c r="N76" s="128">
        <v>135</v>
      </c>
      <c r="O76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76" s="141" t="str">
        <f>INDEX(Crayola[ColorName],MATCH(BiomeColors[[#This Row],[Crayola]],Crayola[Hex],0))</f>
        <v>Jungle Green</v>
      </c>
    </row>
    <row r="77" spans="3:16" x14ac:dyDescent="0.6">
      <c r="C77" s="120" t="s">
        <v>22</v>
      </c>
      <c r="D77" s="120" t="s">
        <v>25</v>
      </c>
      <c r="E77" s="261" t="s">
        <v>94</v>
      </c>
      <c r="F77" s="125">
        <f>ROUNDUP(MATCH(BiomeColors[[#This Row],[Biome]],$V$3:$AN$3,0)/3,0)</f>
        <v>7</v>
      </c>
      <c r="G77" s="125">
        <f>MATCH(BiomeColors[[#This Row],[Month]],$U$4:$U$15,0)</f>
        <v>2</v>
      </c>
      <c r="H77" s="126">
        <f>HEX2DEC(MID(BiomeColors[[#This Row],[Hexvalue]],1,2))</f>
        <v>30</v>
      </c>
      <c r="I77" s="126">
        <f>HEX2DEC(MID(BiomeColors[[#This Row],[Hexvalue]],3,2))</f>
        <v>85</v>
      </c>
      <c r="J77" s="126">
        <f>HEX2DEC(MID(BiomeColors[[#This Row],[Hexvalue]],5,2))</f>
        <v>87</v>
      </c>
      <c r="K77" s="26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#1E5557</v>
      </c>
      <c r="L77" s="128">
        <v>0</v>
      </c>
      <c r="M77" s="128">
        <v>117</v>
      </c>
      <c r="N77" s="128">
        <v>94</v>
      </c>
      <c r="O77" s="140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#00755E</v>
      </c>
      <c r="P77" s="141" t="str">
        <f>INDEX(Crayola[ColorName],MATCH(BiomeColors[[#This Row],[Crayola]],Crayola[Hex],0))</f>
        <v>Tropical Rain Forest</v>
      </c>
    </row>
    <row r="78" spans="3:16" x14ac:dyDescent="0.6">
      <c r="C78" s="120" t="s">
        <v>22</v>
      </c>
      <c r="D78" s="120" t="s">
        <v>27</v>
      </c>
      <c r="E78" s="247" t="s">
        <v>95</v>
      </c>
      <c r="F78" s="125">
        <f>ROUNDUP(MATCH(BiomeColors[[#This Row],[Biome]],$V$3:$AN$3,0)/3,0)</f>
        <v>7</v>
      </c>
      <c r="G78" s="125">
        <f>MATCH(BiomeColors[[#This Row],[Month]],$U$4:$U$15,0)</f>
        <v>3</v>
      </c>
      <c r="H78" s="247">
        <f>HEX2DEC(MID(BiomeColors[[#This Row],[Hexvalue]],1,2))</f>
        <v>49</v>
      </c>
      <c r="I78" s="247">
        <f>HEX2DEC(MID(BiomeColors[[#This Row],[Hexvalue]],3,2))</f>
        <v>154</v>
      </c>
      <c r="J78" s="247">
        <f>HEX2DEC(MID(BiomeColors[[#This Row],[Hexvalue]],5,2))</f>
        <v>153</v>
      </c>
      <c r="K78" s="268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#319A99</v>
      </c>
      <c r="L78" s="128">
        <v>41</v>
      </c>
      <c r="M78" s="128">
        <v>171</v>
      </c>
      <c r="N78" s="128">
        <v>135</v>
      </c>
      <c r="O78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78" s="141" t="str">
        <f>INDEX(Crayola[ColorName],MATCH(BiomeColors[[#This Row],[Crayola]],Crayola[Hex],0))</f>
        <v>Jungle Green</v>
      </c>
    </row>
    <row r="79" spans="3:16" x14ac:dyDescent="0.6">
      <c r="C79" s="120" t="s">
        <v>22</v>
      </c>
      <c r="D79" s="120" t="s">
        <v>29</v>
      </c>
      <c r="E79" s="247">
        <v>165266</v>
      </c>
      <c r="F79" s="125">
        <f>ROUNDUP(MATCH(BiomeColors[[#This Row],[Biome]],$V$3:$AN$3,0)/3,0)</f>
        <v>7</v>
      </c>
      <c r="G79" s="125">
        <f>MATCH(BiomeColors[[#This Row],[Month]],$U$4:$U$15,0)</f>
        <v>4</v>
      </c>
      <c r="H79" s="247">
        <f>HEX2DEC(MID(BiomeColors[[#This Row],[Hexvalue]],1,2))</f>
        <v>22</v>
      </c>
      <c r="I79" s="247">
        <f>HEX2DEC(MID(BiomeColors[[#This Row],[Hexvalue]],3,2))</f>
        <v>82</v>
      </c>
      <c r="J79" s="247">
        <f>HEX2DEC(MID(BiomeColors[[#This Row],[Hexvalue]],5,2))</f>
        <v>102</v>
      </c>
      <c r="K79" s="26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#165266</v>
      </c>
      <c r="L79" s="128">
        <v>0</v>
      </c>
      <c r="M79" s="128">
        <v>70</v>
      </c>
      <c r="N79" s="128">
        <v>140</v>
      </c>
      <c r="O79" s="218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#00468C</v>
      </c>
      <c r="P79" s="141" t="str">
        <f>INDEX(Crayola[ColorName],MATCH(BiomeColors[[#This Row],[Crayola]],Crayola[Hex],0))</f>
        <v>Midnight Blue</v>
      </c>
    </row>
    <row r="80" spans="3:16" x14ac:dyDescent="0.6">
      <c r="C80" s="120" t="s">
        <v>22</v>
      </c>
      <c r="D80" s="120" t="s">
        <v>32</v>
      </c>
      <c r="E80" s="247" t="s">
        <v>96</v>
      </c>
      <c r="F80" s="125">
        <f>ROUNDUP(MATCH(BiomeColors[[#This Row],[Biome]],$V$3:$AN$3,0)/3,0)</f>
        <v>7</v>
      </c>
      <c r="G80" s="125">
        <f>MATCH(BiomeColors[[#This Row],[Month]],$U$4:$U$15,0)</f>
        <v>5</v>
      </c>
      <c r="H80" s="247">
        <f>HEX2DEC(MID(BiomeColors[[#This Row],[Hexvalue]],1,2))</f>
        <v>26</v>
      </c>
      <c r="I80" s="247">
        <f>HEX2DEC(MID(BiomeColors[[#This Row],[Hexvalue]],3,2))</f>
        <v>167</v>
      </c>
      <c r="J80" s="247">
        <f>HEX2DEC(MID(BiomeColors[[#This Row],[Hexvalue]],5,2))</f>
        <v>177</v>
      </c>
      <c r="K80" s="270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#1AA7B1</v>
      </c>
      <c r="L80" s="128">
        <v>0</v>
      </c>
      <c r="M80" s="128">
        <v>149</v>
      </c>
      <c r="N80" s="128">
        <v>183</v>
      </c>
      <c r="O80" s="16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#0095B7</v>
      </c>
      <c r="P80" s="141" t="str">
        <f>INDEX(Crayola[ColorName],MATCH(BiomeColors[[#This Row],[Crayola]],Crayola[Hex],0))</f>
        <v>Blue-Green</v>
      </c>
    </row>
    <row r="81" spans="3:16" x14ac:dyDescent="0.6">
      <c r="C81" s="120" t="s">
        <v>22</v>
      </c>
      <c r="D81" s="120" t="s">
        <v>35</v>
      </c>
      <c r="E81" s="261" t="s">
        <v>97</v>
      </c>
      <c r="F81" s="125">
        <f>ROUNDUP(MATCH(BiomeColors[[#This Row],[Biome]],$V$3:$AN$3,0)/3,0)</f>
        <v>7</v>
      </c>
      <c r="G81" s="125">
        <f>MATCH(BiomeColors[[#This Row],[Month]],$U$4:$U$15,0)</f>
        <v>6</v>
      </c>
      <c r="H81" s="126">
        <f>HEX2DEC(MID(BiomeColors[[#This Row],[Hexvalue]],1,2))</f>
        <v>78</v>
      </c>
      <c r="I81" s="126">
        <f>HEX2DEC(MID(BiomeColors[[#This Row],[Hexvalue]],3,2))</f>
        <v>104</v>
      </c>
      <c r="J81" s="126">
        <f>HEX2DEC(MID(BiomeColors[[#This Row],[Hexvalue]],5,2))</f>
        <v>48</v>
      </c>
      <c r="K81" s="27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#4E6830</v>
      </c>
      <c r="L81" s="128">
        <v>131</v>
      </c>
      <c r="M81" s="128">
        <v>112</v>
      </c>
      <c r="N81" s="128">
        <v>80</v>
      </c>
      <c r="O81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81" s="141" t="str">
        <f>INDEX(Crayola[ColorName],MATCH(BiomeColors[[#This Row],[Crayola]],Crayola[Hex],0))</f>
        <v>Shadow</v>
      </c>
    </row>
    <row r="82" spans="3:16" x14ac:dyDescent="0.6">
      <c r="C82" s="120" t="s">
        <v>22</v>
      </c>
      <c r="D82" s="120" t="s">
        <v>38</v>
      </c>
      <c r="E82" s="261" t="s">
        <v>357</v>
      </c>
      <c r="F82" s="237">
        <f>ROUNDUP(MATCH(BiomeColors[[#This Row],[Biome]],$V$3:$AN$3,0)/3,0)</f>
        <v>7</v>
      </c>
      <c r="G82" s="237">
        <f>MATCH(BiomeColors[[#This Row],[Month]],$U$4:$U$15,0)</f>
        <v>7</v>
      </c>
      <c r="H82" s="122">
        <f>HEX2DEC(MID(BiomeColors[[#This Row],[Hexvalue]],1,2))</f>
        <v>94</v>
      </c>
      <c r="I82" s="122">
        <f>HEX2DEC(MID(BiomeColors[[#This Row],[Hexvalue]],3,2))</f>
        <v>126</v>
      </c>
      <c r="J82" s="122">
        <f>HEX2DEC(MID(BiomeColors[[#This Row],[Hexvalue]],5,2))</f>
        <v>54</v>
      </c>
      <c r="K82" s="311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#5E7E36</v>
      </c>
      <c r="L82" s="128">
        <v>131</v>
      </c>
      <c r="M82" s="128">
        <v>112</v>
      </c>
      <c r="N82" s="128">
        <v>80</v>
      </c>
      <c r="O82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82" s="141" t="str">
        <f>INDEX(Crayola[ColorName],MATCH(BiomeColors[[#This Row],[Crayola]],Crayola[Hex],0))</f>
        <v>Shadow</v>
      </c>
    </row>
    <row r="83" spans="3:16" x14ac:dyDescent="0.6">
      <c r="C83" s="120" t="s">
        <v>22</v>
      </c>
      <c r="D83" s="120" t="s">
        <v>41</v>
      </c>
      <c r="E83" s="261" t="s">
        <v>358</v>
      </c>
      <c r="F83" s="237">
        <f>ROUNDUP(MATCH(BiomeColors[[#This Row],[Biome]],$V$3:$AN$3,0)/3,0)</f>
        <v>7</v>
      </c>
      <c r="G83" s="237">
        <f>MATCH(BiomeColors[[#This Row],[Month]],$U$4:$U$15,0)</f>
        <v>8</v>
      </c>
      <c r="H83" s="122">
        <f>HEX2DEC(MID(BiomeColors[[#This Row],[Hexvalue]],1,2))</f>
        <v>100</v>
      </c>
      <c r="I83" s="122">
        <f>HEX2DEC(MID(BiomeColors[[#This Row],[Hexvalue]],3,2))</f>
        <v>158</v>
      </c>
      <c r="J83" s="122">
        <f>HEX2DEC(MID(BiomeColors[[#This Row],[Hexvalue]],5,2))</f>
        <v>45</v>
      </c>
      <c r="K83" s="31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#649E2D</v>
      </c>
      <c r="L83" s="128">
        <v>123</v>
      </c>
      <c r="M83" s="128">
        <v>160</v>
      </c>
      <c r="N83" s="128">
        <v>91</v>
      </c>
      <c r="O83" s="207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#7BA05B</v>
      </c>
      <c r="P83" s="141" t="str">
        <f>INDEX(Crayola[ColorName],MATCH(BiomeColors[[#This Row],[Crayola]],Crayola[Hex],0))</f>
        <v>Asparagus</v>
      </c>
    </row>
    <row r="84" spans="3:16" x14ac:dyDescent="0.6">
      <c r="C84" s="120" t="s">
        <v>22</v>
      </c>
      <c r="D84" s="120" t="s">
        <v>43</v>
      </c>
      <c r="E84" s="247" t="s">
        <v>98</v>
      </c>
      <c r="F84" s="125">
        <f>ROUNDUP(MATCH(BiomeColors[[#This Row],[Biome]],$V$3:$AN$3,0)/3,0)</f>
        <v>7</v>
      </c>
      <c r="G84" s="125">
        <f>MATCH(BiomeColors[[#This Row],[Month]],$U$4:$U$15,0)</f>
        <v>9</v>
      </c>
      <c r="H84" s="247">
        <f>HEX2DEC(MID(BiomeColors[[#This Row],[Hexvalue]],1,2))</f>
        <v>95</v>
      </c>
      <c r="I84" s="247">
        <f>HEX2DEC(MID(BiomeColors[[#This Row],[Hexvalue]],3,2))</f>
        <v>125</v>
      </c>
      <c r="J84" s="247">
        <f>HEX2DEC(MID(BiomeColors[[#This Row],[Hexvalue]],5,2))</f>
        <v>55</v>
      </c>
      <c r="K84" s="272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#5F7D37</v>
      </c>
      <c r="L84" s="128">
        <v>131</v>
      </c>
      <c r="M84" s="128">
        <v>112</v>
      </c>
      <c r="N84" s="128">
        <v>80</v>
      </c>
      <c r="O84" s="203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#837050</v>
      </c>
      <c r="P84" s="141" t="str">
        <f>INDEX(Crayola[ColorName],MATCH(BiomeColors[[#This Row],[Crayola]],Crayola[Hex],0))</f>
        <v>Shadow</v>
      </c>
    </row>
    <row r="85" spans="3:16" x14ac:dyDescent="0.6">
      <c r="C85" s="120" t="s">
        <v>22</v>
      </c>
      <c r="D85" s="120" t="s">
        <v>45</v>
      </c>
      <c r="E85" s="247">
        <v>337060</v>
      </c>
      <c r="F85" s="237">
        <f>ROUNDUP(MATCH(BiomeColors[[#This Row],[Biome]],$V$3:$AN$3,0)/3,0)</f>
        <v>7</v>
      </c>
      <c r="G85" s="237">
        <f>MATCH(BiomeColors[[#This Row],[Month]],$U$4:$U$15,0)</f>
        <v>10</v>
      </c>
      <c r="H85" s="122">
        <f>HEX2DEC(MID(BiomeColors[[#This Row],[Hexvalue]],1,2))</f>
        <v>51</v>
      </c>
      <c r="I85" s="122">
        <f>HEX2DEC(MID(BiomeColors[[#This Row],[Hexvalue]],3,2))</f>
        <v>112</v>
      </c>
      <c r="J85" s="122">
        <f>HEX2DEC(MID(BiomeColors[[#This Row],[Hexvalue]],5,2))</f>
        <v>96</v>
      </c>
      <c r="K85" s="307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#337060</v>
      </c>
      <c r="L85" s="128">
        <v>0</v>
      </c>
      <c r="M85" s="128">
        <v>117</v>
      </c>
      <c r="N85" s="128">
        <v>94</v>
      </c>
      <c r="O85" s="140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#00755E</v>
      </c>
      <c r="P85" s="141" t="str">
        <f>INDEX(Crayola[ColorName],MATCH(BiomeColors[[#This Row],[Crayola]],Crayola[Hex],0))</f>
        <v>Tropical Rain Forest</v>
      </c>
    </row>
    <row r="86" spans="3:16" x14ac:dyDescent="0.6">
      <c r="C86" s="120" t="s">
        <v>22</v>
      </c>
      <c r="D86" s="120" t="s">
        <v>46</v>
      </c>
      <c r="E86" s="247" t="s">
        <v>356</v>
      </c>
      <c r="F86" s="237">
        <f>ROUNDUP(MATCH(BiomeColors[[#This Row],[Biome]],$V$3:$AN$3,0)/3,0)</f>
        <v>7</v>
      </c>
      <c r="G86" s="237">
        <f>MATCH(BiomeColors[[#This Row],[Month]],$U$4:$U$15,0)</f>
        <v>11</v>
      </c>
      <c r="H86" s="122">
        <f>HEX2DEC(MID(BiomeColors[[#This Row],[Hexvalue]],1,2))</f>
        <v>31</v>
      </c>
      <c r="I86" s="122">
        <f>HEX2DEC(MID(BiomeColors[[#This Row],[Hexvalue]],3,2))</f>
        <v>81</v>
      </c>
      <c r="J86" s="122">
        <f>HEX2DEC(MID(BiomeColors[[#This Row],[Hexvalue]],5,2))</f>
        <v>86</v>
      </c>
      <c r="K86" s="309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#1F5156</v>
      </c>
      <c r="L86" s="128">
        <v>45</v>
      </c>
      <c r="M86" s="128">
        <v>56</v>
      </c>
      <c r="N86" s="128">
        <v>58</v>
      </c>
      <c r="O86" s="191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#2D383A</v>
      </c>
      <c r="P86" s="141" t="str">
        <f>INDEX(Crayola[ColorName],MATCH(BiomeColors[[#This Row],[Crayola]],Crayola[Hex],0))</f>
        <v>Outer Space</v>
      </c>
    </row>
    <row r="87" spans="3:16" x14ac:dyDescent="0.6">
      <c r="C87" s="120" t="s">
        <v>22</v>
      </c>
      <c r="D87" s="120" t="s">
        <v>48</v>
      </c>
      <c r="E87" s="247" t="s">
        <v>99</v>
      </c>
      <c r="F87" s="125">
        <f>ROUNDUP(MATCH(BiomeColors[[#This Row],[Biome]],$V$3:$AN$3,0)/3,0)</f>
        <v>7</v>
      </c>
      <c r="G87" s="125">
        <f>MATCH(BiomeColors[[#This Row],[Month]],$U$4:$U$15,0)</f>
        <v>12</v>
      </c>
      <c r="H87" s="247">
        <f>HEX2DEC(MID(BiomeColors[[#This Row],[Hexvalue]],1,2))</f>
        <v>41</v>
      </c>
      <c r="I87" s="247">
        <f>HEX2DEC(MID(BiomeColors[[#This Row],[Hexvalue]],3,2))</f>
        <v>162</v>
      </c>
      <c r="J87" s="247">
        <f>HEX2DEC(MID(BiomeColors[[#This Row],[Hexvalue]],5,2))</f>
        <v>149</v>
      </c>
      <c r="K87" s="273" t="str">
        <f>"#"&amp;IF(LEN(DEC2HEX(BiomeColors[[#This Row],[R]]))=1,"0","")&amp;DEC2HEX(BiomeColors[[#This Row],[R]])&amp;IF(LEN(DEC2HEX(BiomeColors[[#This Row],[G]]))=1,"0","")&amp;DEC2HEX(BiomeColors[[#This Row],[G]])&amp;IF(LEN(DEC2HEX(BiomeColors[[#This Row],[B]]))=1,"0","")&amp;DEC2HEX(BiomeColors[[#This Row],[B]])</f>
        <v>#29A295</v>
      </c>
      <c r="L87" s="128">
        <v>41</v>
      </c>
      <c r="M87" s="128">
        <v>171</v>
      </c>
      <c r="N87" s="128">
        <v>135</v>
      </c>
      <c r="O87" s="129" t="str">
        <f>"#"&amp;IF(LEN(DEC2HEX(BiomeColors[[#This Row],[CR]]))=1,"0","")&amp;DEC2HEX(BiomeColors[[#This Row],[CR]])&amp;IF(LEN(DEC2HEX(BiomeColors[[#This Row],[CG]]))=1,"0","")&amp;DEC2HEX(BiomeColors[[#This Row],[CG]])&amp;IF(LEN(DEC2HEX(BiomeColors[[#This Row],[CB]]))=1,"0","")&amp;DEC2HEX(BiomeColors[[#This Row],[CB]])</f>
        <v>#29AB87</v>
      </c>
      <c r="P87" s="141" t="str">
        <f>INDEX(Crayola[ColorName],MATCH(BiomeColors[[#This Row],[Crayola]],Crayola[Hex],0))</f>
        <v>Jungle Green</v>
      </c>
    </row>
  </sheetData>
  <mergeCells count="7">
    <mergeCell ref="AN3:AO3"/>
    <mergeCell ref="V3:W3"/>
    <mergeCell ref="Y3:Z3"/>
    <mergeCell ref="AB3:AC3"/>
    <mergeCell ref="AE3:AF3"/>
    <mergeCell ref="AH3:AI3"/>
    <mergeCell ref="AK3:AL3"/>
  </mergeCells>
  <phoneticPr fontId="2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811D-0290-419E-BD59-65DD164D82A3}">
  <sheetPr codeName="Sheet3"/>
  <dimension ref="B2:M122"/>
  <sheetViews>
    <sheetView showGridLines="0" topLeftCell="A91" workbookViewId="0">
      <selection activeCell="C121" sqref="C121"/>
    </sheetView>
  </sheetViews>
  <sheetFormatPr defaultRowHeight="14.25" x14ac:dyDescent="0.45"/>
  <sheetData>
    <row r="2" spans="2:13" x14ac:dyDescent="0.45">
      <c r="B2" t="s">
        <v>100</v>
      </c>
      <c r="C2" t="s">
        <v>101</v>
      </c>
      <c r="D2" t="s">
        <v>7</v>
      </c>
      <c r="E2" t="s">
        <v>8</v>
      </c>
      <c r="F2" t="s">
        <v>9</v>
      </c>
      <c r="G2" t="s">
        <v>102</v>
      </c>
      <c r="H2" t="s">
        <v>103</v>
      </c>
      <c r="I2" t="s">
        <v>104</v>
      </c>
      <c r="J2" t="s">
        <v>105</v>
      </c>
      <c r="K2" s="119" t="s">
        <v>106</v>
      </c>
      <c r="L2" t="s">
        <v>10</v>
      </c>
    </row>
    <row r="3" spans="2:13" ht="16.5" x14ac:dyDescent="0.6">
      <c r="B3" t="s">
        <v>107</v>
      </c>
      <c r="C3" t="s">
        <v>108</v>
      </c>
      <c r="D3">
        <v>237</v>
      </c>
      <c r="E3">
        <v>10</v>
      </c>
      <c r="F3">
        <v>63</v>
      </c>
      <c r="G3">
        <f>(Crayola[[#This Row],[R]]-RGB_R)^2</f>
        <v>38416</v>
      </c>
      <c r="H3">
        <f>(Crayola[[#This Row],[G]]-RGB_G)^2</f>
        <v>23104</v>
      </c>
      <c r="I3">
        <f>(Crayola[[#This Row],[B]]-RGB_B)^2</f>
        <v>7396</v>
      </c>
      <c r="J3">
        <f>SQRT(Crayola[[#This Row],[ΔR^2]]+Crayola[[#This Row],[ΔG^2]]+Crayola[[#This Row],[ΔB^2]])</f>
        <v>262.51857077166943</v>
      </c>
      <c r="K3">
        <f>SQRT(Crayola[[#This Row],[ΔR^2]]*2+Crayola[[#This Row],[ΔG^2]]*4+Crayola[[#This Row],[ΔB^2]]*3)</f>
        <v>437.53399867895979</v>
      </c>
      <c r="L3" s="2"/>
      <c r="M3" s="226"/>
    </row>
    <row r="4" spans="2:13" ht="16.5" x14ac:dyDescent="0.6">
      <c r="B4" t="s">
        <v>109</v>
      </c>
      <c r="C4" t="s">
        <v>110</v>
      </c>
      <c r="D4">
        <v>195</v>
      </c>
      <c r="E4">
        <v>33</v>
      </c>
      <c r="F4">
        <v>72</v>
      </c>
      <c r="G4">
        <f>(Crayola[[#This Row],[R]]-RGB_R)^2</f>
        <v>23716</v>
      </c>
      <c r="H4">
        <f>(Crayola[[#This Row],[G]]-RGB_G)^2</f>
        <v>16641</v>
      </c>
      <c r="I4">
        <f>(Crayola[[#This Row],[B]]-RGB_B)^2</f>
        <v>5929</v>
      </c>
      <c r="J4">
        <f>SQRT(Crayola[[#This Row],[ΔR^2]]+Crayola[[#This Row],[ΔG^2]]+Crayola[[#This Row],[ΔB^2]])</f>
        <v>215.14181369506022</v>
      </c>
      <c r="K4">
        <f>SQRT(Crayola[[#This Row],[ΔR^2]]*2+Crayola[[#This Row],[ΔG^2]]*4+Crayola[[#This Row],[ΔB^2]]*3)</f>
        <v>363.01928323437585</v>
      </c>
      <c r="L4" s="3"/>
      <c r="M4" s="226"/>
    </row>
    <row r="5" spans="2:13" ht="16.5" x14ac:dyDescent="0.6">
      <c r="B5" t="s">
        <v>111</v>
      </c>
      <c r="C5" t="s">
        <v>112</v>
      </c>
      <c r="D5">
        <v>253</v>
      </c>
      <c r="E5">
        <v>14</v>
      </c>
      <c r="F5">
        <v>53</v>
      </c>
      <c r="G5">
        <f>(Crayola[[#This Row],[R]]-RGB_R)^2</f>
        <v>44944</v>
      </c>
      <c r="H5">
        <f>(Crayola[[#This Row],[G]]-RGB_G)^2</f>
        <v>21904</v>
      </c>
      <c r="I5">
        <f>(Crayola[[#This Row],[B]]-RGB_B)^2</f>
        <v>9216</v>
      </c>
      <c r="J5">
        <f>SQRT(Crayola[[#This Row],[ΔR^2]]+Crayola[[#This Row],[ΔG^2]]+Crayola[[#This Row],[ΔB^2]])</f>
        <v>275.79702681501118</v>
      </c>
      <c r="K5">
        <f>SQRT(Crayola[[#This Row],[ΔR^2]]*2+Crayola[[#This Row],[ΔG^2]]*4+Crayola[[#This Row],[ΔB^2]]*3)</f>
        <v>452.93708172327865</v>
      </c>
      <c r="L5" s="4"/>
      <c r="M5" s="226"/>
    </row>
    <row r="6" spans="2:13" ht="16.5" x14ac:dyDescent="0.6">
      <c r="B6" t="s">
        <v>113</v>
      </c>
      <c r="C6" t="s">
        <v>114</v>
      </c>
      <c r="D6">
        <v>198</v>
      </c>
      <c r="E6">
        <v>45</v>
      </c>
      <c r="F6">
        <v>66</v>
      </c>
      <c r="G6">
        <f>(Crayola[[#This Row],[R]]-RGB_R)^2</f>
        <v>24649</v>
      </c>
      <c r="H6">
        <f>(Crayola[[#This Row],[G]]-RGB_G)^2</f>
        <v>13689</v>
      </c>
      <c r="I6">
        <f>(Crayola[[#This Row],[B]]-RGB_B)^2</f>
        <v>6889</v>
      </c>
      <c r="J6">
        <f>SQRT(Crayola[[#This Row],[ΔR^2]]+Crayola[[#This Row],[ΔG^2]]+Crayola[[#This Row],[ΔB^2]])</f>
        <v>212.66640543348637</v>
      </c>
      <c r="K6">
        <f>SQRT(Crayola[[#This Row],[ΔR^2]]*2+Crayola[[#This Row],[ΔG^2]]*4+Crayola[[#This Row],[ΔB^2]]*3)</f>
        <v>353.15860459572554</v>
      </c>
      <c r="L6" s="5"/>
      <c r="M6" s="226"/>
    </row>
    <row r="7" spans="2:13" ht="16.5" x14ac:dyDescent="0.6">
      <c r="B7" t="s">
        <v>115</v>
      </c>
      <c r="C7" t="s">
        <v>116</v>
      </c>
      <c r="D7">
        <v>185</v>
      </c>
      <c r="E7">
        <v>78</v>
      </c>
      <c r="F7">
        <v>72</v>
      </c>
      <c r="G7">
        <f>(Crayola[[#This Row],[R]]-RGB_R)^2</f>
        <v>20736</v>
      </c>
      <c r="H7">
        <f>(Crayola[[#This Row],[G]]-RGB_G)^2</f>
        <v>7056</v>
      </c>
      <c r="I7">
        <f>(Crayola[[#This Row],[B]]-RGB_B)^2</f>
        <v>5929</v>
      </c>
      <c r="J7">
        <f>SQRT(Crayola[[#This Row],[ΔR^2]]+Crayola[[#This Row],[ΔG^2]]+Crayola[[#This Row],[ΔB^2]])</f>
        <v>183.63278574372279</v>
      </c>
      <c r="K7">
        <f>SQRT(Crayola[[#This Row],[ΔR^2]]*2+Crayola[[#This Row],[ΔG^2]]*4+Crayola[[#This Row],[ΔB^2]]*3)</f>
        <v>295.77525251447253</v>
      </c>
      <c r="L7" s="6"/>
      <c r="M7" s="226"/>
    </row>
    <row r="8" spans="2:13" ht="16.5" x14ac:dyDescent="0.6">
      <c r="B8" t="s">
        <v>117</v>
      </c>
      <c r="C8" t="s">
        <v>118</v>
      </c>
      <c r="D8">
        <v>255</v>
      </c>
      <c r="E8">
        <v>83</v>
      </c>
      <c r="F8">
        <v>73</v>
      </c>
      <c r="G8">
        <f>(Crayola[[#This Row],[R]]-RGB_R)^2</f>
        <v>45796</v>
      </c>
      <c r="H8">
        <f>(Crayola[[#This Row],[G]]-RGB_G)^2</f>
        <v>6241</v>
      </c>
      <c r="I8">
        <f>(Crayola[[#This Row],[B]]-RGB_B)^2</f>
        <v>5776</v>
      </c>
      <c r="J8">
        <f>SQRT(Crayola[[#This Row],[ΔR^2]]+Crayola[[#This Row],[ΔG^2]]+Crayola[[#This Row],[ΔB^2]])</f>
        <v>240.44334051913353</v>
      </c>
      <c r="K8">
        <f>SQRT(Crayola[[#This Row],[ΔR^2]]*2+Crayola[[#This Row],[ΔG^2]]*4+Crayola[[#This Row],[ΔB^2]]*3)</f>
        <v>365.90162612374382</v>
      </c>
      <c r="L8" s="7"/>
      <c r="M8" s="226"/>
    </row>
    <row r="9" spans="2:13" ht="16.5" x14ac:dyDescent="0.6">
      <c r="B9" t="s">
        <v>119</v>
      </c>
      <c r="C9" t="s">
        <v>120</v>
      </c>
      <c r="D9">
        <v>254</v>
      </c>
      <c r="E9">
        <v>76</v>
      </c>
      <c r="F9">
        <v>64</v>
      </c>
      <c r="G9">
        <f>(Crayola[[#This Row],[R]]-RGB_R)^2</f>
        <v>45369</v>
      </c>
      <c r="H9">
        <f>(Crayola[[#This Row],[G]]-RGB_G)^2</f>
        <v>7396</v>
      </c>
      <c r="I9">
        <f>(Crayola[[#This Row],[B]]-RGB_B)^2</f>
        <v>7225</v>
      </c>
      <c r="J9">
        <f>SQRT(Crayola[[#This Row],[ΔR^2]]+Crayola[[#This Row],[ΔG^2]]+Crayola[[#This Row],[ΔB^2]])</f>
        <v>244.92856101320646</v>
      </c>
      <c r="K9">
        <f>SQRT(Crayola[[#This Row],[ΔR^2]]*2+Crayola[[#This Row],[ΔG^2]]*4+Crayola[[#This Row],[ΔB^2]]*3)</f>
        <v>376.82489302061771</v>
      </c>
      <c r="L9" s="8"/>
      <c r="M9" s="226"/>
    </row>
    <row r="10" spans="2:13" ht="16.5" x14ac:dyDescent="0.6">
      <c r="B10" t="s">
        <v>121</v>
      </c>
      <c r="C10" t="s">
        <v>122</v>
      </c>
      <c r="D10">
        <v>254</v>
      </c>
      <c r="E10">
        <v>111</v>
      </c>
      <c r="F10">
        <v>94</v>
      </c>
      <c r="G10">
        <f>(Crayola[[#This Row],[R]]-RGB_R)^2</f>
        <v>45369</v>
      </c>
      <c r="H10">
        <f>(Crayola[[#This Row],[G]]-RGB_G)^2</f>
        <v>2601</v>
      </c>
      <c r="I10">
        <f>(Crayola[[#This Row],[B]]-RGB_B)^2</f>
        <v>3025</v>
      </c>
      <c r="J10">
        <f>SQRT(Crayola[[#This Row],[ΔR^2]]+Crayola[[#This Row],[ΔG^2]]+Crayola[[#This Row],[ΔB^2]])</f>
        <v>225.82072535531367</v>
      </c>
      <c r="K10">
        <f>SQRT(Crayola[[#This Row],[ΔR^2]]*2+Crayola[[#This Row],[ΔG^2]]*4+Crayola[[#This Row],[ΔB^2]]*3)</f>
        <v>331.98945766394451</v>
      </c>
      <c r="L10" s="9"/>
      <c r="M10" s="226"/>
    </row>
    <row r="11" spans="2:13" ht="16.5" x14ac:dyDescent="0.6">
      <c r="B11" t="s">
        <v>123</v>
      </c>
      <c r="C11" t="s">
        <v>124</v>
      </c>
      <c r="D11">
        <v>255</v>
      </c>
      <c r="E11">
        <v>153</v>
      </c>
      <c r="F11">
        <v>128</v>
      </c>
      <c r="G11">
        <f>(Crayola[[#This Row],[R]]-RGB_R)^2</f>
        <v>45796</v>
      </c>
      <c r="H11">
        <f>(Crayola[[#This Row],[G]]-RGB_G)^2</f>
        <v>81</v>
      </c>
      <c r="I11">
        <f>(Crayola[[#This Row],[B]]-RGB_B)^2</f>
        <v>441</v>
      </c>
      <c r="J11">
        <f>SQRT(Crayola[[#This Row],[ΔR^2]]+Crayola[[#This Row],[ΔG^2]]+Crayola[[#This Row],[ΔB^2]])</f>
        <v>215.21617039618562</v>
      </c>
      <c r="K11">
        <f>SQRT(Crayola[[#This Row],[ΔR^2]]*2+Crayola[[#This Row],[ΔG^2]]*4+Crayola[[#This Row],[ΔB^2]]*3)</f>
        <v>305.35061814248877</v>
      </c>
      <c r="L11" s="10"/>
      <c r="M11" s="226"/>
    </row>
    <row r="12" spans="2:13" ht="16.5" x14ac:dyDescent="0.6">
      <c r="B12" t="s">
        <v>125</v>
      </c>
      <c r="C12" t="s">
        <v>126</v>
      </c>
      <c r="D12">
        <v>255</v>
      </c>
      <c r="E12">
        <v>112</v>
      </c>
      <c r="F12">
        <v>52</v>
      </c>
      <c r="G12">
        <f>(Crayola[[#This Row],[R]]-RGB_R)^2</f>
        <v>45796</v>
      </c>
      <c r="H12">
        <f>(Crayola[[#This Row],[G]]-RGB_G)^2</f>
        <v>2500</v>
      </c>
      <c r="I12">
        <f>(Crayola[[#This Row],[B]]-RGB_B)^2</f>
        <v>9409</v>
      </c>
      <c r="J12">
        <f>SQRT(Crayola[[#This Row],[ΔR^2]]+Crayola[[#This Row],[ΔG^2]]+Crayola[[#This Row],[ΔB^2]])</f>
        <v>240.21865040000537</v>
      </c>
      <c r="K12">
        <f>SQRT(Crayola[[#This Row],[ΔR^2]]*2+Crayola[[#This Row],[ΔG^2]]*4+Crayola[[#This Row],[ΔB^2]]*3)</f>
        <v>360.30403827878479</v>
      </c>
      <c r="L12" s="11"/>
      <c r="M12" s="226"/>
    </row>
    <row r="13" spans="2:13" ht="16.5" x14ac:dyDescent="0.6">
      <c r="B13" t="s">
        <v>127</v>
      </c>
      <c r="C13" t="s">
        <v>128</v>
      </c>
      <c r="D13">
        <v>255</v>
      </c>
      <c r="E13">
        <v>104</v>
      </c>
      <c r="F13">
        <v>31</v>
      </c>
      <c r="G13">
        <f>(Crayola[[#This Row],[R]]-RGB_R)^2</f>
        <v>45796</v>
      </c>
      <c r="H13">
        <f>(Crayola[[#This Row],[G]]-RGB_G)^2</f>
        <v>3364</v>
      </c>
      <c r="I13">
        <f>(Crayola[[#This Row],[B]]-RGB_B)^2</f>
        <v>13924</v>
      </c>
      <c r="J13">
        <f>SQRT(Crayola[[#This Row],[ΔR^2]]+Crayola[[#This Row],[ΔG^2]]+Crayola[[#This Row],[ΔB^2]])</f>
        <v>251.1652842253483</v>
      </c>
      <c r="K13">
        <f>SQRT(Crayola[[#This Row],[ΔR^2]]*2+Crayola[[#This Row],[ΔG^2]]*4+Crayola[[#This Row],[ΔB^2]]*3)</f>
        <v>383.17098011201216</v>
      </c>
      <c r="L13" s="12"/>
      <c r="M13" s="226"/>
    </row>
    <row r="14" spans="2:13" ht="16.5" x14ac:dyDescent="0.6">
      <c r="B14" t="s">
        <v>129</v>
      </c>
      <c r="C14" t="s">
        <v>130</v>
      </c>
      <c r="D14">
        <v>255</v>
      </c>
      <c r="E14">
        <v>136</v>
      </c>
      <c r="F14">
        <v>51</v>
      </c>
      <c r="G14">
        <f>(Crayola[[#This Row],[R]]-RGB_R)^2</f>
        <v>45796</v>
      </c>
      <c r="H14">
        <f>(Crayola[[#This Row],[G]]-RGB_G)^2</f>
        <v>676</v>
      </c>
      <c r="I14">
        <f>(Crayola[[#This Row],[B]]-RGB_B)^2</f>
        <v>9604</v>
      </c>
      <c r="J14">
        <f>SQRT(Crayola[[#This Row],[ΔR^2]]+Crayola[[#This Row],[ΔG^2]]+Crayola[[#This Row],[ΔB^2]])</f>
        <v>236.80371618705649</v>
      </c>
      <c r="K14">
        <f>SQRT(Crayola[[#This Row],[ΔR^2]]*2+Crayola[[#This Row],[ΔG^2]]*4+Crayola[[#This Row],[ΔB^2]]*3)</f>
        <v>350.86749635724311</v>
      </c>
      <c r="L14" s="13"/>
      <c r="M14" s="226"/>
    </row>
    <row r="15" spans="2:13" ht="16.5" x14ac:dyDescent="0.6">
      <c r="B15" t="s">
        <v>131</v>
      </c>
      <c r="C15" t="s">
        <v>132</v>
      </c>
      <c r="D15">
        <v>255</v>
      </c>
      <c r="E15">
        <v>185</v>
      </c>
      <c r="F15">
        <v>123</v>
      </c>
      <c r="G15">
        <f>(Crayola[[#This Row],[R]]-RGB_R)^2</f>
        <v>45796</v>
      </c>
      <c r="H15">
        <f>(Crayola[[#This Row],[G]]-RGB_G)^2</f>
        <v>529</v>
      </c>
      <c r="I15">
        <f>(Crayola[[#This Row],[B]]-RGB_B)^2</f>
        <v>676</v>
      </c>
      <c r="J15">
        <f>SQRT(Crayola[[#This Row],[ΔR^2]]+Crayola[[#This Row],[ΔG^2]]+Crayola[[#This Row],[ΔB^2]])</f>
        <v>216.7971402025405</v>
      </c>
      <c r="K15">
        <f>SQRT(Crayola[[#This Row],[ΔR^2]]*2+Crayola[[#This Row],[ΔG^2]]*4+Crayola[[#This Row],[ΔB^2]]*3)</f>
        <v>309.41234623072171</v>
      </c>
      <c r="L15" s="14"/>
      <c r="M15" s="226"/>
    </row>
    <row r="16" spans="2:13" ht="16.5" x14ac:dyDescent="0.6">
      <c r="B16" t="s">
        <v>133</v>
      </c>
      <c r="C16" t="s">
        <v>134</v>
      </c>
      <c r="D16">
        <v>231</v>
      </c>
      <c r="E16">
        <v>114</v>
      </c>
      <c r="F16">
        <v>0</v>
      </c>
      <c r="G16">
        <f>(Crayola[[#This Row],[R]]-RGB_R)^2</f>
        <v>36100</v>
      </c>
      <c r="H16">
        <f>(Crayola[[#This Row],[G]]-RGB_G)^2</f>
        <v>2304</v>
      </c>
      <c r="I16">
        <f>(Crayola[[#This Row],[B]]-RGB_B)^2</f>
        <v>22201</v>
      </c>
      <c r="J16">
        <f>SQRT(Crayola[[#This Row],[ΔR^2]]+Crayola[[#This Row],[ΔG^2]]+Crayola[[#This Row],[ΔB^2]])</f>
        <v>246.18082784814905</v>
      </c>
      <c r="K16">
        <f>SQRT(Crayola[[#This Row],[ΔR^2]]*2+Crayola[[#This Row],[ΔG^2]]*4+Crayola[[#This Row],[ΔB^2]]*3)</f>
        <v>384.73237451506469</v>
      </c>
      <c r="L16" s="15"/>
      <c r="M16" s="226"/>
    </row>
    <row r="17" spans="2:13" ht="16.5" x14ac:dyDescent="0.6">
      <c r="B17" t="s">
        <v>135</v>
      </c>
      <c r="C17" t="s">
        <v>136</v>
      </c>
      <c r="D17">
        <v>255</v>
      </c>
      <c r="E17">
        <v>174</v>
      </c>
      <c r="F17">
        <v>66</v>
      </c>
      <c r="G17">
        <f>(Crayola[[#This Row],[R]]-RGB_R)^2</f>
        <v>45796</v>
      </c>
      <c r="H17">
        <f>(Crayola[[#This Row],[G]]-RGB_G)^2</f>
        <v>144</v>
      </c>
      <c r="I17">
        <f>(Crayola[[#This Row],[B]]-RGB_B)^2</f>
        <v>6889</v>
      </c>
      <c r="J17">
        <f>SQRT(Crayola[[#This Row],[ΔR^2]]+Crayola[[#This Row],[ΔG^2]]+Crayola[[#This Row],[ΔB^2]])</f>
        <v>229.84560034945198</v>
      </c>
      <c r="K17">
        <f>SQRT(Crayola[[#This Row],[ΔR^2]]*2+Crayola[[#This Row],[ΔG^2]]*4+Crayola[[#This Row],[ΔB^2]]*3)</f>
        <v>335.90921392542958</v>
      </c>
      <c r="L17" s="16"/>
      <c r="M17" s="226"/>
    </row>
    <row r="18" spans="2:13" ht="16.5" x14ac:dyDescent="0.6">
      <c r="B18" t="s">
        <v>137</v>
      </c>
      <c r="C18" t="s">
        <v>138</v>
      </c>
      <c r="D18">
        <v>251</v>
      </c>
      <c r="E18">
        <v>231</v>
      </c>
      <c r="F18">
        <v>178</v>
      </c>
      <c r="G18">
        <f>(Crayola[[#This Row],[R]]-RGB_R)^2</f>
        <v>44100</v>
      </c>
      <c r="H18">
        <f>(Crayola[[#This Row],[G]]-RGB_G)^2</f>
        <v>4761</v>
      </c>
      <c r="I18">
        <f>(Crayola[[#This Row],[B]]-RGB_B)^2</f>
        <v>841</v>
      </c>
      <c r="J18">
        <f>SQRT(Crayola[[#This Row],[ΔR^2]]+Crayola[[#This Row],[ΔG^2]]+Crayola[[#This Row],[ΔB^2]])</f>
        <v>222.9394536639937</v>
      </c>
      <c r="K18">
        <f>SQRT(Crayola[[#This Row],[ΔR^2]]*2+Crayola[[#This Row],[ΔG^2]]*4+Crayola[[#This Row],[ΔB^2]]*3)</f>
        <v>331.31103211333004</v>
      </c>
      <c r="L18" s="17"/>
      <c r="M18" s="226"/>
    </row>
    <row r="19" spans="2:13" ht="16.5" x14ac:dyDescent="0.6">
      <c r="B19" t="s">
        <v>139</v>
      </c>
      <c r="C19" t="s">
        <v>140</v>
      </c>
      <c r="D19">
        <v>122</v>
      </c>
      <c r="E19">
        <v>137</v>
      </c>
      <c r="F19">
        <v>184</v>
      </c>
      <c r="G19">
        <f>(Crayola[[#This Row],[R]]-RGB_R)^2</f>
        <v>6561</v>
      </c>
      <c r="H19">
        <f>(Crayola[[#This Row],[G]]-RGB_G)^2</f>
        <v>625</v>
      </c>
      <c r="I19">
        <f>(Crayola[[#This Row],[B]]-RGB_B)^2</f>
        <v>1225</v>
      </c>
      <c r="J19">
        <f>SQRT(Crayola[[#This Row],[ΔR^2]]+Crayola[[#This Row],[ΔG^2]]+Crayola[[#This Row],[ΔB^2]])</f>
        <v>91.711504185679999</v>
      </c>
      <c r="K19">
        <f>SQRT(Crayola[[#This Row],[ΔR^2]]*2+Crayola[[#This Row],[ΔG^2]]*4+Crayola[[#This Row],[ΔB^2]]*3)</f>
        <v>138.91364223862249</v>
      </c>
      <c r="L19" s="18"/>
      <c r="M19" s="226"/>
    </row>
    <row r="20" spans="2:13" ht="16.5" x14ac:dyDescent="0.6">
      <c r="B20" t="s">
        <v>141</v>
      </c>
      <c r="C20" t="s">
        <v>142</v>
      </c>
      <c r="D20">
        <v>251</v>
      </c>
      <c r="E20">
        <v>232</v>
      </c>
      <c r="F20">
        <v>112</v>
      </c>
      <c r="G20">
        <f>(Crayola[[#This Row],[R]]-RGB_R)^2</f>
        <v>44100</v>
      </c>
      <c r="H20">
        <f>(Crayola[[#This Row],[G]]-RGB_G)^2</f>
        <v>4900</v>
      </c>
      <c r="I20">
        <f>(Crayola[[#This Row],[B]]-RGB_B)^2</f>
        <v>1369</v>
      </c>
      <c r="J20">
        <f>SQRT(Crayola[[#This Row],[ΔR^2]]+Crayola[[#This Row],[ΔG^2]]+Crayola[[#This Row],[ΔB^2]])</f>
        <v>224.43039009902381</v>
      </c>
      <c r="K20">
        <f>SQRT(Crayola[[#This Row],[ΔR^2]]*2+Crayola[[#This Row],[ΔG^2]]*4+Crayola[[#This Row],[ΔB^2]]*3)</f>
        <v>334.5250364322527</v>
      </c>
      <c r="L20" s="19"/>
      <c r="M20" s="226"/>
    </row>
    <row r="21" spans="2:13" ht="16.5" x14ac:dyDescent="0.6">
      <c r="B21" t="s">
        <v>143</v>
      </c>
      <c r="C21" t="s">
        <v>144</v>
      </c>
      <c r="D21">
        <v>0</v>
      </c>
      <c r="E21">
        <v>149</v>
      </c>
      <c r="F21">
        <v>183</v>
      </c>
      <c r="G21">
        <f>(Crayola[[#This Row],[R]]-RGB_R)^2</f>
        <v>1681</v>
      </c>
      <c r="H21">
        <f>(Crayola[[#This Row],[G]]-RGB_G)^2</f>
        <v>169</v>
      </c>
      <c r="I21">
        <f>(Crayola[[#This Row],[B]]-RGB_B)^2</f>
        <v>1156</v>
      </c>
      <c r="J21">
        <f>SQRT(Crayola[[#This Row],[ΔR^2]]+Crayola[[#This Row],[ΔG^2]]+Crayola[[#This Row],[ΔB^2]])</f>
        <v>54.827000647491197</v>
      </c>
      <c r="K21">
        <f>SQRT(Crayola[[#This Row],[ΔR^2]]*2+Crayola[[#This Row],[ΔG^2]]*4+Crayola[[#This Row],[ΔB^2]]*3)</f>
        <v>86.637174469161906</v>
      </c>
      <c r="L21" s="20"/>
      <c r="M21" s="226"/>
    </row>
    <row r="22" spans="2:13" ht="16.5" x14ac:dyDescent="0.6">
      <c r="B22" t="s">
        <v>145</v>
      </c>
      <c r="C22" t="s">
        <v>146</v>
      </c>
      <c r="D22">
        <v>0</v>
      </c>
      <c r="E22">
        <v>204</v>
      </c>
      <c r="F22">
        <v>153</v>
      </c>
      <c r="G22">
        <f>(Crayola[[#This Row],[R]]-RGB_R)^2</f>
        <v>1681</v>
      </c>
      <c r="H22">
        <f>(Crayola[[#This Row],[G]]-RGB_G)^2</f>
        <v>1764</v>
      </c>
      <c r="I22">
        <f>(Crayola[[#This Row],[B]]-RGB_B)^2</f>
        <v>16</v>
      </c>
      <c r="J22">
        <f>SQRT(Crayola[[#This Row],[ΔR^2]]+Crayola[[#This Row],[ΔG^2]]+Crayola[[#This Row],[ΔB^2]])</f>
        <v>58.830264320330912</v>
      </c>
      <c r="K22">
        <f>SQRT(Crayola[[#This Row],[ΔR^2]]*2+Crayola[[#This Row],[ΔG^2]]*4+Crayola[[#This Row],[ΔB^2]]*3)</f>
        <v>102.30347012687302</v>
      </c>
      <c r="L22" s="21"/>
      <c r="M22" s="226"/>
    </row>
    <row r="23" spans="2:13" ht="16.5" x14ac:dyDescent="0.6">
      <c r="B23" t="s">
        <v>147</v>
      </c>
      <c r="C23" t="s">
        <v>148</v>
      </c>
      <c r="D23">
        <v>95</v>
      </c>
      <c r="E23">
        <v>167</v>
      </c>
      <c r="F23">
        <v>119</v>
      </c>
      <c r="G23">
        <f>(Crayola[[#This Row],[R]]-RGB_R)^2</f>
        <v>2916</v>
      </c>
      <c r="H23">
        <f>(Crayola[[#This Row],[G]]-RGB_G)^2</f>
        <v>25</v>
      </c>
      <c r="I23">
        <f>(Crayola[[#This Row],[B]]-RGB_B)^2</f>
        <v>900</v>
      </c>
      <c r="J23">
        <f>SQRT(Crayola[[#This Row],[ΔR^2]]+Crayola[[#This Row],[ΔG^2]]+Crayola[[#This Row],[ΔB^2]])</f>
        <v>61.975801729384671</v>
      </c>
      <c r="K23">
        <f>SQRT(Crayola[[#This Row],[ΔR^2]]*2+Crayola[[#This Row],[ΔG^2]]*4+Crayola[[#This Row],[ΔB^2]]*3)</f>
        <v>92.908557194695476</v>
      </c>
      <c r="L23" s="22"/>
      <c r="M23" s="226"/>
    </row>
    <row r="24" spans="2:13" ht="16.5" x14ac:dyDescent="0.6">
      <c r="B24" t="s">
        <v>149</v>
      </c>
      <c r="C24" t="s">
        <v>150</v>
      </c>
      <c r="D24">
        <v>255</v>
      </c>
      <c r="E24">
        <v>255</v>
      </c>
      <c r="F24">
        <v>153</v>
      </c>
      <c r="G24">
        <f>(Crayola[[#This Row],[R]]-RGB_R)^2</f>
        <v>45796</v>
      </c>
      <c r="H24">
        <f>(Crayola[[#This Row],[G]]-RGB_G)^2</f>
        <v>8649</v>
      </c>
      <c r="I24">
        <f>(Crayola[[#This Row],[B]]-RGB_B)^2</f>
        <v>16</v>
      </c>
      <c r="J24">
        <f>SQRT(Crayola[[#This Row],[ΔR^2]]+Crayola[[#This Row],[ΔG^2]]+Crayola[[#This Row],[ΔB^2]])</f>
        <v>233.36880682730501</v>
      </c>
      <c r="K24">
        <f>SQRT(Crayola[[#This Row],[ΔR^2]]*2+Crayola[[#This Row],[ΔG^2]]*4+Crayola[[#This Row],[ΔB^2]]*3)</f>
        <v>355.29705881135578</v>
      </c>
      <c r="L24" s="23"/>
      <c r="M24" s="226"/>
    </row>
    <row r="25" spans="2:13" ht="16.5" x14ac:dyDescent="0.6">
      <c r="B25" t="s">
        <v>151</v>
      </c>
      <c r="C25" t="s">
        <v>152</v>
      </c>
      <c r="D25">
        <v>175</v>
      </c>
      <c r="E25">
        <v>227</v>
      </c>
      <c r="F25">
        <v>19</v>
      </c>
      <c r="G25">
        <f>(Crayola[[#This Row],[R]]-RGB_R)^2</f>
        <v>17956</v>
      </c>
      <c r="H25">
        <f>(Crayola[[#This Row],[G]]-RGB_G)^2</f>
        <v>4225</v>
      </c>
      <c r="I25">
        <f>(Crayola[[#This Row],[B]]-RGB_B)^2</f>
        <v>16900</v>
      </c>
      <c r="J25">
        <f>SQRT(Crayola[[#This Row],[ΔR^2]]+Crayola[[#This Row],[ΔG^2]]+Crayola[[#This Row],[ΔB^2]])</f>
        <v>197.6891499298836</v>
      </c>
      <c r="K25">
        <f>SQRT(Crayola[[#This Row],[ΔR^2]]*2+Crayola[[#This Row],[ΔG^2]]*4+Crayola[[#This Row],[ΔB^2]]*3)</f>
        <v>321.73280839852191</v>
      </c>
      <c r="L25" s="24"/>
      <c r="M25" s="226"/>
    </row>
    <row r="26" spans="2:13" ht="16.5" x14ac:dyDescent="0.6">
      <c r="B26" t="s">
        <v>153</v>
      </c>
      <c r="C26" t="s">
        <v>154</v>
      </c>
      <c r="D26">
        <v>28</v>
      </c>
      <c r="E26">
        <v>172</v>
      </c>
      <c r="F26">
        <v>120</v>
      </c>
      <c r="G26">
        <f>(Crayola[[#This Row],[R]]-RGB_R)^2</f>
        <v>169</v>
      </c>
      <c r="H26">
        <f>(Crayola[[#This Row],[G]]-RGB_G)^2</f>
        <v>100</v>
      </c>
      <c r="I26">
        <f>(Crayola[[#This Row],[B]]-RGB_B)^2</f>
        <v>841</v>
      </c>
      <c r="J26">
        <f>SQRT(Crayola[[#This Row],[ΔR^2]]+Crayola[[#This Row],[ΔG^2]]+Crayola[[#This Row],[ΔB^2]])</f>
        <v>33.316662497915367</v>
      </c>
      <c r="K26">
        <f>SQRT(Crayola[[#This Row],[ΔR^2]]*2+Crayola[[#This Row],[ΔG^2]]*4+Crayola[[#This Row],[ΔB^2]]*3)</f>
        <v>57.105166141076936</v>
      </c>
      <c r="L26" s="25"/>
      <c r="M26" s="226"/>
    </row>
    <row r="27" spans="2:13" ht="16.5" x14ac:dyDescent="0.6">
      <c r="B27" t="s">
        <v>155</v>
      </c>
      <c r="C27" t="s">
        <v>156</v>
      </c>
      <c r="D27">
        <v>123</v>
      </c>
      <c r="E27">
        <v>160</v>
      </c>
      <c r="F27">
        <v>91</v>
      </c>
      <c r="G27">
        <f>(Crayola[[#This Row],[R]]-RGB_R)^2</f>
        <v>6724</v>
      </c>
      <c r="H27">
        <f>(Crayola[[#This Row],[G]]-RGB_G)^2</f>
        <v>4</v>
      </c>
      <c r="I27">
        <f>(Crayola[[#This Row],[B]]-RGB_B)^2</f>
        <v>3364</v>
      </c>
      <c r="J27">
        <f>SQRT(Crayola[[#This Row],[ΔR^2]]+Crayola[[#This Row],[ΔG^2]]+Crayola[[#This Row],[ΔB^2]])</f>
        <v>100.45894683899488</v>
      </c>
      <c r="K27">
        <f>SQRT(Crayola[[#This Row],[ΔR^2]]*2+Crayola[[#This Row],[ΔG^2]]*4+Crayola[[#This Row],[ΔB^2]]*3)</f>
        <v>153.47964034359737</v>
      </c>
      <c r="L27" s="26"/>
      <c r="M27" s="226"/>
    </row>
    <row r="28" spans="2:13" ht="16.5" x14ac:dyDescent="0.6">
      <c r="B28" t="s">
        <v>157</v>
      </c>
      <c r="C28" t="s">
        <v>158</v>
      </c>
      <c r="D28">
        <v>157</v>
      </c>
      <c r="E28">
        <v>224</v>
      </c>
      <c r="F28">
        <v>147</v>
      </c>
      <c r="G28">
        <f>(Crayola[[#This Row],[R]]-RGB_R)^2</f>
        <v>13456</v>
      </c>
      <c r="H28">
        <f>(Crayola[[#This Row],[G]]-RGB_G)^2</f>
        <v>3844</v>
      </c>
      <c r="I28">
        <f>(Crayola[[#This Row],[B]]-RGB_B)^2</f>
        <v>4</v>
      </c>
      <c r="J28">
        <f>SQRT(Crayola[[#This Row],[ΔR^2]]+Crayola[[#This Row],[ΔG^2]]+Crayola[[#This Row],[ΔB^2]])</f>
        <v>131.54466921924279</v>
      </c>
      <c r="K28">
        <f>SQRT(Crayola[[#This Row],[ΔR^2]]*2+Crayola[[#This Row],[ΔG^2]]*4+Crayola[[#This Row],[ΔB^2]]*3)</f>
        <v>205.66963801203133</v>
      </c>
      <c r="L28" s="27"/>
      <c r="M28" s="226"/>
    </row>
    <row r="29" spans="2:13" ht="16.5" x14ac:dyDescent="0.6">
      <c r="B29" t="s">
        <v>159</v>
      </c>
      <c r="C29" t="s">
        <v>160</v>
      </c>
      <c r="D29">
        <v>99</v>
      </c>
      <c r="E29">
        <v>183</v>
      </c>
      <c r="F29">
        <v>108</v>
      </c>
      <c r="G29">
        <f>(Crayola[[#This Row],[R]]-RGB_R)^2</f>
        <v>3364</v>
      </c>
      <c r="H29">
        <f>(Crayola[[#This Row],[G]]-RGB_G)^2</f>
        <v>441</v>
      </c>
      <c r="I29">
        <f>(Crayola[[#This Row],[B]]-RGB_B)^2</f>
        <v>1681</v>
      </c>
      <c r="J29">
        <f>SQRT(Crayola[[#This Row],[ΔR^2]]+Crayola[[#This Row],[ΔG^2]]+Crayola[[#This Row],[ΔB^2]])</f>
        <v>74.06753674856482</v>
      </c>
      <c r="K29">
        <f>SQRT(Crayola[[#This Row],[ΔR^2]]*2+Crayola[[#This Row],[ΔG^2]]*4+Crayola[[#This Row],[ΔB^2]]*3)</f>
        <v>116.34001891008957</v>
      </c>
      <c r="L29" s="28"/>
      <c r="M29" s="226"/>
    </row>
    <row r="30" spans="2:13" ht="16.5" x14ac:dyDescent="0.6">
      <c r="B30" t="s">
        <v>161</v>
      </c>
      <c r="C30" t="s">
        <v>162</v>
      </c>
      <c r="D30">
        <v>241</v>
      </c>
      <c r="E30">
        <v>231</v>
      </c>
      <c r="F30">
        <v>136</v>
      </c>
      <c r="G30">
        <f>(Crayola[[#This Row],[R]]-RGB_R)^2</f>
        <v>40000</v>
      </c>
      <c r="H30">
        <f>(Crayola[[#This Row],[G]]-RGB_G)^2</f>
        <v>4761</v>
      </c>
      <c r="I30">
        <f>(Crayola[[#This Row],[B]]-RGB_B)^2</f>
        <v>169</v>
      </c>
      <c r="J30">
        <f>SQRT(Crayola[[#This Row],[ΔR^2]]+Crayola[[#This Row],[ΔG^2]]+Crayola[[#This Row],[ΔB^2]])</f>
        <v>211.96697856034086</v>
      </c>
      <c r="K30">
        <f>SQRT(Crayola[[#This Row],[ΔR^2]]*2+Crayola[[#This Row],[ΔG^2]]*4+Crayola[[#This Row],[ΔB^2]]*3)</f>
        <v>315.51703599013479</v>
      </c>
      <c r="L30" s="29"/>
      <c r="M30" s="226"/>
    </row>
    <row r="31" spans="2:13" ht="16.5" x14ac:dyDescent="0.6">
      <c r="B31" t="s">
        <v>163</v>
      </c>
      <c r="C31" t="s">
        <v>164</v>
      </c>
      <c r="D31">
        <v>41</v>
      </c>
      <c r="E31">
        <v>171</v>
      </c>
      <c r="F31">
        <v>135</v>
      </c>
      <c r="G31">
        <f>(Crayola[[#This Row],[R]]-RGB_R)^2</f>
        <v>0</v>
      </c>
      <c r="H31">
        <f>(Crayola[[#This Row],[G]]-RGB_G)^2</f>
        <v>81</v>
      </c>
      <c r="I31">
        <f>(Crayola[[#This Row],[B]]-RGB_B)^2</f>
        <v>196</v>
      </c>
      <c r="J31">
        <f>SQRT(Crayola[[#This Row],[ΔR^2]]+Crayola[[#This Row],[ΔG^2]]+Crayola[[#This Row],[ΔB^2]])</f>
        <v>16.643316977093239</v>
      </c>
      <c r="K31">
        <f>SQRT(Crayola[[#This Row],[ΔR^2]]*2+Crayola[[#This Row],[ΔG^2]]*4+Crayola[[#This Row],[ΔB^2]]*3)</f>
        <v>30.199337741082999</v>
      </c>
      <c r="L31" s="30"/>
      <c r="M31" s="226"/>
    </row>
    <row r="32" spans="2:13" ht="16.5" x14ac:dyDescent="0.6">
      <c r="B32" t="s">
        <v>165</v>
      </c>
      <c r="C32" t="s">
        <v>166</v>
      </c>
      <c r="D32">
        <v>181</v>
      </c>
      <c r="E32">
        <v>179</v>
      </c>
      <c r="F32">
        <v>92</v>
      </c>
      <c r="G32">
        <f>(Crayola[[#This Row],[R]]-RGB_R)^2</f>
        <v>19600</v>
      </c>
      <c r="H32">
        <f>(Crayola[[#This Row],[G]]-RGB_G)^2</f>
        <v>289</v>
      </c>
      <c r="I32">
        <f>(Crayola[[#This Row],[B]]-RGB_B)^2</f>
        <v>3249</v>
      </c>
      <c r="J32">
        <f>SQRT(Crayola[[#This Row],[ΔR^2]]+Crayola[[#This Row],[ΔG^2]]+Crayola[[#This Row],[ΔB^2]])</f>
        <v>152.11180098861496</v>
      </c>
      <c r="K32">
        <f>SQRT(Crayola[[#This Row],[ΔR^2]]*2+Crayola[[#This Row],[ΔG^2]]*4+Crayola[[#This Row],[ΔB^2]]*3)</f>
        <v>223.83699426144909</v>
      </c>
      <c r="L32" s="31"/>
      <c r="M32" s="226"/>
    </row>
    <row r="33" spans="2:13" ht="16.5" x14ac:dyDescent="0.6">
      <c r="B33" t="s">
        <v>167</v>
      </c>
      <c r="C33" t="s">
        <v>168</v>
      </c>
      <c r="D33">
        <v>51</v>
      </c>
      <c r="E33">
        <v>204</v>
      </c>
      <c r="F33">
        <v>153</v>
      </c>
      <c r="G33">
        <f>(Crayola[[#This Row],[R]]-RGB_R)^2</f>
        <v>100</v>
      </c>
      <c r="H33">
        <f>(Crayola[[#This Row],[G]]-RGB_G)^2</f>
        <v>1764</v>
      </c>
      <c r="I33">
        <f>(Crayola[[#This Row],[B]]-RGB_B)^2</f>
        <v>16</v>
      </c>
      <c r="J33">
        <f>SQRT(Crayola[[#This Row],[ΔR^2]]+Crayola[[#This Row],[ΔG^2]]+Crayola[[#This Row],[ΔB^2]])</f>
        <v>43.358966777357601</v>
      </c>
      <c r="K33">
        <f>SQRT(Crayola[[#This Row],[ΔR^2]]*2+Crayola[[#This Row],[ΔG^2]]*4+Crayola[[#This Row],[ΔB^2]]*3)</f>
        <v>85.463442476885987</v>
      </c>
      <c r="L33" s="32"/>
      <c r="M33" s="226"/>
    </row>
    <row r="34" spans="2:13" ht="16.5" x14ac:dyDescent="0.6">
      <c r="B34" t="s">
        <v>169</v>
      </c>
      <c r="C34" t="s">
        <v>170</v>
      </c>
      <c r="D34">
        <v>26</v>
      </c>
      <c r="E34">
        <v>179</v>
      </c>
      <c r="F34">
        <v>133</v>
      </c>
      <c r="G34">
        <f>(Crayola[[#This Row],[R]]-RGB_R)^2</f>
        <v>225</v>
      </c>
      <c r="H34">
        <f>(Crayola[[#This Row],[G]]-RGB_G)^2</f>
        <v>289</v>
      </c>
      <c r="I34">
        <f>(Crayola[[#This Row],[B]]-RGB_B)^2</f>
        <v>256</v>
      </c>
      <c r="J34">
        <f>SQRT(Crayola[[#This Row],[ΔR^2]]+Crayola[[#This Row],[ΔG^2]]+Crayola[[#This Row],[ΔB^2]])</f>
        <v>27.748873851023216</v>
      </c>
      <c r="K34">
        <f>SQRT(Crayola[[#This Row],[ΔR^2]]*2+Crayola[[#This Row],[ΔG^2]]*4+Crayola[[#This Row],[ΔB^2]]*3)</f>
        <v>48.723710860319329</v>
      </c>
      <c r="L34" s="33"/>
      <c r="M34" s="226"/>
    </row>
    <row r="35" spans="2:13" ht="16.5" x14ac:dyDescent="0.6">
      <c r="B35" t="s">
        <v>171</v>
      </c>
      <c r="C35" t="s">
        <v>172</v>
      </c>
      <c r="D35">
        <v>1</v>
      </c>
      <c r="E35">
        <v>120</v>
      </c>
      <c r="F35">
        <v>111</v>
      </c>
      <c r="G35">
        <f>(Crayola[[#This Row],[R]]-RGB_R)^2</f>
        <v>1600</v>
      </c>
      <c r="H35">
        <f>(Crayola[[#This Row],[G]]-RGB_G)^2</f>
        <v>1764</v>
      </c>
      <c r="I35">
        <f>(Crayola[[#This Row],[B]]-RGB_B)^2</f>
        <v>1444</v>
      </c>
      <c r="J35">
        <f>SQRT(Crayola[[#This Row],[ΔR^2]]+Crayola[[#This Row],[ΔG^2]]+Crayola[[#This Row],[ΔB^2]])</f>
        <v>69.339743293438858</v>
      </c>
      <c r="K35">
        <f>SQRT(Crayola[[#This Row],[ΔR^2]]*2+Crayola[[#This Row],[ΔG^2]]*4+Crayola[[#This Row],[ΔB^2]]*3)</f>
        <v>120.780793175074</v>
      </c>
      <c r="L35" s="34"/>
      <c r="M35" s="226"/>
    </row>
    <row r="36" spans="2:13" ht="16.5" x14ac:dyDescent="0.6">
      <c r="B36" t="s">
        <v>173</v>
      </c>
      <c r="C36" t="s">
        <v>174</v>
      </c>
      <c r="D36">
        <v>102</v>
      </c>
      <c r="E36">
        <v>255</v>
      </c>
      <c r="F36">
        <v>102</v>
      </c>
      <c r="G36">
        <f>(Crayola[[#This Row],[R]]-RGB_R)^2</f>
        <v>3721</v>
      </c>
      <c r="H36">
        <f>(Crayola[[#This Row],[G]]-RGB_G)^2</f>
        <v>8649</v>
      </c>
      <c r="I36">
        <f>(Crayola[[#This Row],[B]]-RGB_B)^2</f>
        <v>2209</v>
      </c>
      <c r="J36">
        <f>SQRT(Crayola[[#This Row],[ΔR^2]]+Crayola[[#This Row],[ΔG^2]]+Crayola[[#This Row],[ΔB^2]])</f>
        <v>120.7435298473587</v>
      </c>
      <c r="K36">
        <f>SQRT(Crayola[[#This Row],[ΔR^2]]*2+Crayola[[#This Row],[ΔG^2]]*4+Crayola[[#This Row],[ΔB^2]]*3)</f>
        <v>220.60145058453264</v>
      </c>
      <c r="L36" s="35"/>
      <c r="M36" s="226"/>
    </row>
    <row r="37" spans="2:13" ht="16.5" x14ac:dyDescent="0.6">
      <c r="B37" t="s">
        <v>175</v>
      </c>
      <c r="C37" t="s">
        <v>176</v>
      </c>
      <c r="D37">
        <v>0</v>
      </c>
      <c r="E37">
        <v>117</v>
      </c>
      <c r="F37">
        <v>94</v>
      </c>
      <c r="G37">
        <f>(Crayola[[#This Row],[R]]-RGB_R)^2</f>
        <v>1681</v>
      </c>
      <c r="H37">
        <f>(Crayola[[#This Row],[G]]-RGB_G)^2</f>
        <v>2025</v>
      </c>
      <c r="I37">
        <f>(Crayola[[#This Row],[B]]-RGB_B)^2</f>
        <v>3025</v>
      </c>
      <c r="J37">
        <f>SQRT(Crayola[[#This Row],[ΔR^2]]+Crayola[[#This Row],[ΔG^2]]+Crayola[[#This Row],[ΔB^2]])</f>
        <v>82.042671823874684</v>
      </c>
      <c r="K37">
        <f>SQRT(Crayola[[#This Row],[ΔR^2]]*2+Crayola[[#This Row],[ΔG^2]]*4+Crayola[[#This Row],[ΔB^2]]*3)</f>
        <v>143.30736198814071</v>
      </c>
      <c r="L37" s="36"/>
      <c r="M37" s="226"/>
    </row>
    <row r="38" spans="2:13" ht="16.5" x14ac:dyDescent="0.6">
      <c r="B38" t="s">
        <v>177</v>
      </c>
      <c r="C38" t="s">
        <v>178</v>
      </c>
      <c r="D38">
        <v>147</v>
      </c>
      <c r="E38">
        <v>223</v>
      </c>
      <c r="F38">
        <v>184</v>
      </c>
      <c r="G38">
        <f>(Crayola[[#This Row],[R]]-RGB_R)^2</f>
        <v>11236</v>
      </c>
      <c r="H38">
        <f>(Crayola[[#This Row],[G]]-RGB_G)^2</f>
        <v>3721</v>
      </c>
      <c r="I38">
        <f>(Crayola[[#This Row],[B]]-RGB_B)^2</f>
        <v>1225</v>
      </c>
      <c r="J38">
        <f>SQRT(Crayola[[#This Row],[ΔR^2]]+Crayola[[#This Row],[ΔG^2]]+Crayola[[#This Row],[ΔB^2]])</f>
        <v>127.20849028268515</v>
      </c>
      <c r="K38">
        <f>SQRT(Crayola[[#This Row],[ΔR^2]]*2+Crayola[[#This Row],[ΔG^2]]*4+Crayola[[#This Row],[ΔB^2]]*3)</f>
        <v>202.56110189273755</v>
      </c>
      <c r="L38" s="37"/>
      <c r="M38" s="226"/>
    </row>
    <row r="39" spans="2:13" ht="16.5" x14ac:dyDescent="0.6">
      <c r="B39" t="s">
        <v>179</v>
      </c>
      <c r="C39" t="s">
        <v>180</v>
      </c>
      <c r="D39">
        <v>0</v>
      </c>
      <c r="E39">
        <v>204</v>
      </c>
      <c r="F39">
        <v>204</v>
      </c>
      <c r="G39">
        <f>(Crayola[[#This Row],[R]]-RGB_R)^2</f>
        <v>1681</v>
      </c>
      <c r="H39">
        <f>(Crayola[[#This Row],[G]]-RGB_G)^2</f>
        <v>1764</v>
      </c>
      <c r="I39">
        <f>(Crayola[[#This Row],[B]]-RGB_B)^2</f>
        <v>3025</v>
      </c>
      <c r="J39">
        <f>SQRT(Crayola[[#This Row],[ΔR^2]]+Crayola[[#This Row],[ΔG^2]]+Crayola[[#This Row],[ΔB^2]])</f>
        <v>80.436310208760815</v>
      </c>
      <c r="K39">
        <f>SQRT(Crayola[[#This Row],[ΔR^2]]*2+Crayola[[#This Row],[ΔG^2]]*4+Crayola[[#This Row],[ΔB^2]]*3)</f>
        <v>139.61733416735902</v>
      </c>
      <c r="L39" s="38"/>
      <c r="M39" s="226"/>
    </row>
    <row r="40" spans="2:13" ht="16.5" x14ac:dyDescent="0.6">
      <c r="B40" t="s">
        <v>181</v>
      </c>
      <c r="C40" t="s">
        <v>182</v>
      </c>
      <c r="D40">
        <v>0</v>
      </c>
      <c r="E40">
        <v>128</v>
      </c>
      <c r="F40">
        <v>128</v>
      </c>
      <c r="G40">
        <f>(Crayola[[#This Row],[R]]-RGB_R)^2</f>
        <v>1681</v>
      </c>
      <c r="H40">
        <f>(Crayola[[#This Row],[G]]-RGB_G)^2</f>
        <v>1156</v>
      </c>
      <c r="I40">
        <f>(Crayola[[#This Row],[B]]-RGB_B)^2</f>
        <v>441</v>
      </c>
      <c r="J40">
        <f>SQRT(Crayola[[#This Row],[ΔR^2]]+Crayola[[#This Row],[ΔG^2]]+Crayola[[#This Row],[ΔB^2]])</f>
        <v>57.253820833198546</v>
      </c>
      <c r="K40">
        <f>SQRT(Crayola[[#This Row],[ΔR^2]]*2+Crayola[[#This Row],[ΔG^2]]*4+Crayola[[#This Row],[ΔB^2]]*3)</f>
        <v>96.483159152258281</v>
      </c>
      <c r="L40" s="39"/>
      <c r="M40" s="226"/>
    </row>
    <row r="41" spans="2:13" ht="16.5" x14ac:dyDescent="0.6">
      <c r="B41" t="s">
        <v>183</v>
      </c>
      <c r="C41" t="s">
        <v>184</v>
      </c>
      <c r="D41">
        <v>149</v>
      </c>
      <c r="E41">
        <v>237</v>
      </c>
      <c r="F41">
        <v>232</v>
      </c>
      <c r="G41">
        <f>(Crayola[[#This Row],[R]]-RGB_R)^2</f>
        <v>11664</v>
      </c>
      <c r="H41">
        <f>(Crayola[[#This Row],[G]]-RGB_G)^2</f>
        <v>5625</v>
      </c>
      <c r="I41">
        <f>(Crayola[[#This Row],[B]]-RGB_B)^2</f>
        <v>6889</v>
      </c>
      <c r="J41">
        <f>SQRT(Crayola[[#This Row],[ΔR^2]]+Crayola[[#This Row],[ΔG^2]]+Crayola[[#This Row],[ΔB^2]])</f>
        <v>155.49276510500417</v>
      </c>
      <c r="K41">
        <f>SQRT(Crayola[[#This Row],[ΔR^2]]*2+Crayola[[#This Row],[ΔG^2]]*4+Crayola[[#This Row],[ΔB^2]]*3)</f>
        <v>257.86624439813755</v>
      </c>
      <c r="L41" s="40"/>
      <c r="M41" s="226"/>
    </row>
    <row r="42" spans="2:13" ht="16.5" x14ac:dyDescent="0.6">
      <c r="B42" t="s">
        <v>185</v>
      </c>
      <c r="C42" t="s">
        <v>186</v>
      </c>
      <c r="D42">
        <v>108</v>
      </c>
      <c r="E42">
        <v>218</v>
      </c>
      <c r="F42">
        <v>231</v>
      </c>
      <c r="G42">
        <f>(Crayola[[#This Row],[R]]-RGB_R)^2</f>
        <v>4489</v>
      </c>
      <c r="H42">
        <f>(Crayola[[#This Row],[G]]-RGB_G)^2</f>
        <v>3136</v>
      </c>
      <c r="I42">
        <f>(Crayola[[#This Row],[B]]-RGB_B)^2</f>
        <v>6724</v>
      </c>
      <c r="J42">
        <f>SQRT(Crayola[[#This Row],[ΔR^2]]+Crayola[[#This Row],[ΔG^2]]+Crayola[[#This Row],[ΔB^2]])</f>
        <v>119.78731151503484</v>
      </c>
      <c r="K42">
        <f>SQRT(Crayola[[#This Row],[ΔR^2]]*2+Crayola[[#This Row],[ΔG^2]]*4+Crayola[[#This Row],[ΔB^2]]*3)</f>
        <v>204.1910869749216</v>
      </c>
      <c r="L42" s="41"/>
      <c r="M42" s="226"/>
    </row>
    <row r="43" spans="2:13" ht="16.5" x14ac:dyDescent="0.6">
      <c r="B43" t="s">
        <v>187</v>
      </c>
      <c r="C43" t="s">
        <v>188</v>
      </c>
      <c r="D43">
        <v>45</v>
      </c>
      <c r="E43">
        <v>56</v>
      </c>
      <c r="F43">
        <v>58</v>
      </c>
      <c r="G43">
        <f>(Crayola[[#This Row],[R]]-RGB_R)^2</f>
        <v>16</v>
      </c>
      <c r="H43">
        <f>(Crayola[[#This Row],[G]]-RGB_G)^2</f>
        <v>11236</v>
      </c>
      <c r="I43">
        <f>(Crayola[[#This Row],[B]]-RGB_B)^2</f>
        <v>8281</v>
      </c>
      <c r="J43">
        <f>SQRT(Crayola[[#This Row],[ΔR^2]]+Crayola[[#This Row],[ΔG^2]]+Crayola[[#This Row],[ΔB^2]])</f>
        <v>139.76050944383397</v>
      </c>
      <c r="K43">
        <f>SQRT(Crayola[[#This Row],[ΔR^2]]*2+Crayola[[#This Row],[ΔG^2]]*4+Crayola[[#This Row],[ΔB^2]]*3)</f>
        <v>264.23285185608546</v>
      </c>
      <c r="L43" s="42"/>
      <c r="M43" s="226"/>
    </row>
    <row r="44" spans="2:13" ht="16.5" x14ac:dyDescent="0.6">
      <c r="B44" t="s">
        <v>189</v>
      </c>
      <c r="C44" t="s">
        <v>190</v>
      </c>
      <c r="D44">
        <v>118</v>
      </c>
      <c r="E44">
        <v>215</v>
      </c>
      <c r="F44">
        <v>234</v>
      </c>
      <c r="G44">
        <f>(Crayola[[#This Row],[R]]-RGB_R)^2</f>
        <v>5929</v>
      </c>
      <c r="H44">
        <f>(Crayola[[#This Row],[G]]-RGB_G)^2</f>
        <v>2809</v>
      </c>
      <c r="I44">
        <f>(Crayola[[#This Row],[B]]-RGB_B)^2</f>
        <v>7225</v>
      </c>
      <c r="J44">
        <f>SQRT(Crayola[[#This Row],[ΔR^2]]+Crayola[[#This Row],[ΔG^2]]+Crayola[[#This Row],[ΔB^2]])</f>
        <v>126.34476641317598</v>
      </c>
      <c r="K44">
        <f>SQRT(Crayola[[#This Row],[ΔR^2]]*2+Crayola[[#This Row],[ΔG^2]]*4+Crayola[[#This Row],[ΔB^2]]*3)</f>
        <v>211.58686159589399</v>
      </c>
      <c r="L44" s="43"/>
      <c r="M44" s="226"/>
    </row>
    <row r="45" spans="2:13" ht="16.5" x14ac:dyDescent="0.6">
      <c r="B45" t="s">
        <v>191</v>
      </c>
      <c r="C45" t="s">
        <v>192</v>
      </c>
      <c r="D45">
        <v>236</v>
      </c>
      <c r="E45">
        <v>235</v>
      </c>
      <c r="F45">
        <v>189</v>
      </c>
      <c r="G45">
        <f>(Crayola[[#This Row],[R]]-RGB_R)^2</f>
        <v>38025</v>
      </c>
      <c r="H45">
        <f>(Crayola[[#This Row],[G]]-RGB_G)^2</f>
        <v>5329</v>
      </c>
      <c r="I45">
        <f>(Crayola[[#This Row],[B]]-RGB_B)^2</f>
        <v>1600</v>
      </c>
      <c r="J45">
        <f>SQRT(Crayola[[#This Row],[ΔR^2]]+Crayola[[#This Row],[ΔG^2]]+Crayola[[#This Row],[ΔB^2]])</f>
        <v>212.02358359390118</v>
      </c>
      <c r="K45">
        <f>SQRT(Crayola[[#This Row],[ΔR^2]]*2+Crayola[[#This Row],[ΔG^2]]*4+Crayola[[#This Row],[ΔB^2]]*3)</f>
        <v>319.6341658834362</v>
      </c>
      <c r="L45" s="44"/>
      <c r="M45" s="226"/>
    </row>
    <row r="46" spans="2:13" ht="16.5" x14ac:dyDescent="0.6">
      <c r="B46" t="s">
        <v>193</v>
      </c>
      <c r="C46" t="s">
        <v>194</v>
      </c>
      <c r="D46">
        <v>0</v>
      </c>
      <c r="E46">
        <v>157</v>
      </c>
      <c r="F46">
        <v>196</v>
      </c>
      <c r="G46">
        <f>(Crayola[[#This Row],[R]]-RGB_R)^2</f>
        <v>1681</v>
      </c>
      <c r="H46">
        <f>(Crayola[[#This Row],[G]]-RGB_G)^2</f>
        <v>25</v>
      </c>
      <c r="I46">
        <f>(Crayola[[#This Row],[B]]-RGB_B)^2</f>
        <v>2209</v>
      </c>
      <c r="J46">
        <f>SQRT(Crayola[[#This Row],[ΔR^2]]+Crayola[[#This Row],[ΔG^2]]+Crayola[[#This Row],[ΔB^2]])</f>
        <v>62.56996084384263</v>
      </c>
      <c r="K46">
        <f>SQRT(Crayola[[#This Row],[ΔR^2]]*2+Crayola[[#This Row],[ΔG^2]]*4+Crayola[[#This Row],[ΔB^2]]*3)</f>
        <v>100.44401425669923</v>
      </c>
      <c r="L46" s="45"/>
      <c r="M46" s="226"/>
    </row>
    <row r="47" spans="2:13" ht="16.5" x14ac:dyDescent="0.6">
      <c r="B47" t="s">
        <v>195</v>
      </c>
      <c r="C47" t="s">
        <v>196</v>
      </c>
      <c r="D47">
        <v>2</v>
      </c>
      <c r="E47">
        <v>164</v>
      </c>
      <c r="F47">
        <v>211</v>
      </c>
      <c r="G47">
        <f>(Crayola[[#This Row],[R]]-RGB_R)^2</f>
        <v>1521</v>
      </c>
      <c r="H47">
        <f>(Crayola[[#This Row],[G]]-RGB_G)^2</f>
        <v>4</v>
      </c>
      <c r="I47">
        <f>(Crayola[[#This Row],[B]]-RGB_B)^2</f>
        <v>3844</v>
      </c>
      <c r="J47">
        <f>SQRT(Crayola[[#This Row],[ΔR^2]]+Crayola[[#This Row],[ΔG^2]]+Crayola[[#This Row],[ΔB^2]])</f>
        <v>73.273460406889484</v>
      </c>
      <c r="K47">
        <f>SQRT(Crayola[[#This Row],[ΔR^2]]*2+Crayola[[#This Row],[ΔG^2]]*4+Crayola[[#This Row],[ΔB^2]]*3)</f>
        <v>120.7890723534211</v>
      </c>
      <c r="L47" s="46"/>
      <c r="M47" s="226"/>
    </row>
    <row r="48" spans="2:13" ht="16.5" x14ac:dyDescent="0.6">
      <c r="B48" t="s">
        <v>197</v>
      </c>
      <c r="C48" t="s">
        <v>198</v>
      </c>
      <c r="D48">
        <v>147</v>
      </c>
      <c r="E48">
        <v>204</v>
      </c>
      <c r="F48">
        <v>234</v>
      </c>
      <c r="G48">
        <f>(Crayola[[#This Row],[R]]-RGB_R)^2</f>
        <v>11236</v>
      </c>
      <c r="H48">
        <f>(Crayola[[#This Row],[G]]-RGB_G)^2</f>
        <v>1764</v>
      </c>
      <c r="I48">
        <f>(Crayola[[#This Row],[B]]-RGB_B)^2</f>
        <v>7225</v>
      </c>
      <c r="J48">
        <f>SQRT(Crayola[[#This Row],[ΔR^2]]+Crayola[[#This Row],[ΔG^2]]+Crayola[[#This Row],[ΔB^2]])</f>
        <v>142.21462653327893</v>
      </c>
      <c r="K48">
        <f>SQRT(Crayola[[#This Row],[ΔR^2]]*2+Crayola[[#This Row],[ΔG^2]]*4+Crayola[[#This Row],[ΔB^2]]*3)</f>
        <v>226.28079900866533</v>
      </c>
      <c r="L48" s="47"/>
      <c r="M48" s="226"/>
    </row>
    <row r="49" spans="2:13" ht="16.5" x14ac:dyDescent="0.6">
      <c r="B49" t="s">
        <v>199</v>
      </c>
      <c r="C49" t="s">
        <v>200</v>
      </c>
      <c r="D49">
        <v>0</v>
      </c>
      <c r="E49">
        <v>70</v>
      </c>
      <c r="F49">
        <v>140</v>
      </c>
      <c r="G49">
        <f>(Crayola[[#This Row],[R]]-RGB_R)^2</f>
        <v>1681</v>
      </c>
      <c r="H49">
        <f>(Crayola[[#This Row],[G]]-RGB_G)^2</f>
        <v>8464</v>
      </c>
      <c r="I49">
        <f>(Crayola[[#This Row],[B]]-RGB_B)^2</f>
        <v>81</v>
      </c>
      <c r="J49">
        <f>SQRT(Crayola[[#This Row],[ΔR^2]]+Crayola[[#This Row],[ΔG^2]]+Crayola[[#This Row],[ΔB^2]])</f>
        <v>101.1236866416568</v>
      </c>
      <c r="K49">
        <f>SQRT(Crayola[[#This Row],[ΔR^2]]*2+Crayola[[#This Row],[ΔG^2]]*4+Crayola[[#This Row],[ΔB^2]]*3)</f>
        <v>193.54844354837886</v>
      </c>
      <c r="L49" s="48"/>
      <c r="M49" s="226"/>
    </row>
    <row r="50" spans="2:13" ht="16.5" x14ac:dyDescent="0.6">
      <c r="B50" t="s">
        <v>201</v>
      </c>
      <c r="C50" t="s">
        <v>202</v>
      </c>
      <c r="D50">
        <v>0</v>
      </c>
      <c r="E50">
        <v>102</v>
      </c>
      <c r="F50">
        <v>204</v>
      </c>
      <c r="G50">
        <f>(Crayola[[#This Row],[R]]-RGB_R)^2</f>
        <v>1681</v>
      </c>
      <c r="H50">
        <f>(Crayola[[#This Row],[G]]-RGB_G)^2</f>
        <v>3600</v>
      </c>
      <c r="I50">
        <f>(Crayola[[#This Row],[B]]-RGB_B)^2</f>
        <v>3025</v>
      </c>
      <c r="J50">
        <f>SQRT(Crayola[[#This Row],[ΔR^2]]+Crayola[[#This Row],[ΔG^2]]+Crayola[[#This Row],[ΔB^2]])</f>
        <v>91.13725912051558</v>
      </c>
      <c r="K50">
        <f>SQRT(Crayola[[#This Row],[ΔR^2]]*2+Crayola[[#This Row],[ΔG^2]]*4+Crayola[[#This Row],[ΔB^2]]*3)</f>
        <v>163.82002319618931</v>
      </c>
      <c r="L50" s="49"/>
      <c r="M50" s="226"/>
    </row>
    <row r="51" spans="2:13" ht="16.5" x14ac:dyDescent="0.6">
      <c r="B51" t="s">
        <v>203</v>
      </c>
      <c r="C51" t="s">
        <v>204</v>
      </c>
      <c r="D51">
        <v>251</v>
      </c>
      <c r="E51">
        <v>174</v>
      </c>
      <c r="F51">
        <v>210</v>
      </c>
      <c r="G51">
        <f>(Crayola[[#This Row],[R]]-RGB_R)^2</f>
        <v>44100</v>
      </c>
      <c r="H51">
        <f>(Crayola[[#This Row],[G]]-RGB_G)^2</f>
        <v>144</v>
      </c>
      <c r="I51">
        <f>(Crayola[[#This Row],[B]]-RGB_B)^2</f>
        <v>3721</v>
      </c>
      <c r="J51">
        <f>SQRT(Crayola[[#This Row],[ΔR^2]]+Crayola[[#This Row],[ΔG^2]]+Crayola[[#This Row],[ΔB^2]])</f>
        <v>219.0091322296858</v>
      </c>
      <c r="K51">
        <f>SQRT(Crayola[[#This Row],[ΔR^2]]*2+Crayola[[#This Row],[ΔG^2]]*4+Crayola[[#This Row],[ΔB^2]]*3)</f>
        <v>316.13130183517103</v>
      </c>
      <c r="L51" s="50"/>
      <c r="M51" s="226"/>
    </row>
    <row r="52" spans="2:13" ht="16.5" x14ac:dyDescent="0.6">
      <c r="B52" t="s">
        <v>205</v>
      </c>
      <c r="C52" t="s">
        <v>206</v>
      </c>
      <c r="D52">
        <v>0</v>
      </c>
      <c r="E52">
        <v>102</v>
      </c>
      <c r="F52">
        <v>255</v>
      </c>
      <c r="G52">
        <f>(Crayola[[#This Row],[R]]-RGB_R)^2</f>
        <v>1681</v>
      </c>
      <c r="H52">
        <f>(Crayola[[#This Row],[G]]-RGB_G)^2</f>
        <v>3600</v>
      </c>
      <c r="I52">
        <f>(Crayola[[#This Row],[B]]-RGB_B)^2</f>
        <v>11236</v>
      </c>
      <c r="J52">
        <f>SQRT(Crayola[[#This Row],[ΔR^2]]+Crayola[[#This Row],[ΔG^2]]+Crayola[[#This Row],[ΔB^2]])</f>
        <v>128.51848116127113</v>
      </c>
      <c r="K52">
        <f>SQRT(Crayola[[#This Row],[ΔR^2]]*2+Crayola[[#This Row],[ΔG^2]]*4+Crayola[[#This Row],[ΔB^2]]*3)</f>
        <v>226.87000683210638</v>
      </c>
      <c r="L52" s="51"/>
      <c r="M52" s="226"/>
    </row>
    <row r="53" spans="2:13" ht="16.5" x14ac:dyDescent="0.6">
      <c r="B53" t="s">
        <v>207</v>
      </c>
      <c r="C53" t="s">
        <v>208</v>
      </c>
      <c r="D53">
        <v>252</v>
      </c>
      <c r="E53">
        <v>214</v>
      </c>
      <c r="F53">
        <v>103</v>
      </c>
      <c r="G53">
        <f>(Crayola[[#This Row],[R]]-RGB_R)^2</f>
        <v>44521</v>
      </c>
      <c r="H53">
        <f>(Crayola[[#This Row],[G]]-RGB_G)^2</f>
        <v>2704</v>
      </c>
      <c r="I53">
        <f>(Crayola[[#This Row],[B]]-RGB_B)^2</f>
        <v>2116</v>
      </c>
      <c r="J53">
        <f>SQRT(Crayola[[#This Row],[ΔR^2]]+Crayola[[#This Row],[ΔG^2]]+Crayola[[#This Row],[ΔB^2]])</f>
        <v>222.12834128044085</v>
      </c>
      <c r="K53">
        <f>SQRT(Crayola[[#This Row],[ΔR^2]]*2+Crayola[[#This Row],[ΔG^2]]*4+Crayola[[#This Row],[ΔB^2]]*3)</f>
        <v>325.89262035216444</v>
      </c>
      <c r="L53" s="52"/>
      <c r="M53" s="226"/>
    </row>
    <row r="54" spans="2:13" ht="16.5" x14ac:dyDescent="0.6">
      <c r="B54" t="s">
        <v>209</v>
      </c>
      <c r="C54" t="s">
        <v>210</v>
      </c>
      <c r="D54">
        <v>195</v>
      </c>
      <c r="E54">
        <v>205</v>
      </c>
      <c r="F54">
        <v>230</v>
      </c>
      <c r="G54">
        <f>(Crayola[[#This Row],[R]]-RGB_R)^2</f>
        <v>23716</v>
      </c>
      <c r="H54">
        <f>(Crayola[[#This Row],[G]]-RGB_G)^2</f>
        <v>1849</v>
      </c>
      <c r="I54">
        <f>(Crayola[[#This Row],[B]]-RGB_B)^2</f>
        <v>6561</v>
      </c>
      <c r="J54">
        <f>SQRT(Crayola[[#This Row],[ΔR^2]]+Crayola[[#This Row],[ΔG^2]]+Crayola[[#This Row],[ΔB^2]])</f>
        <v>179.23727290940352</v>
      </c>
      <c r="K54">
        <f>SQRT(Crayola[[#This Row],[ΔR^2]]*2+Crayola[[#This Row],[ΔG^2]]*4+Crayola[[#This Row],[ΔB^2]]*3)</f>
        <v>272.96703097627011</v>
      </c>
      <c r="L54" s="53"/>
      <c r="M54" s="226"/>
    </row>
    <row r="55" spans="2:13" ht="16.5" x14ac:dyDescent="0.6">
      <c r="B55" t="s">
        <v>211</v>
      </c>
      <c r="C55" t="s">
        <v>212</v>
      </c>
      <c r="D55">
        <v>46</v>
      </c>
      <c r="E55">
        <v>80</v>
      </c>
      <c r="F55">
        <v>144</v>
      </c>
      <c r="G55">
        <f>(Crayola[[#This Row],[R]]-RGB_R)^2</f>
        <v>25</v>
      </c>
      <c r="H55">
        <f>(Crayola[[#This Row],[G]]-RGB_G)^2</f>
        <v>6724</v>
      </c>
      <c r="I55">
        <f>(Crayola[[#This Row],[B]]-RGB_B)^2</f>
        <v>25</v>
      </c>
      <c r="J55">
        <f>SQRT(Crayola[[#This Row],[ΔR^2]]+Crayola[[#This Row],[ΔG^2]]+Crayola[[#This Row],[ΔB^2]])</f>
        <v>82.304313374209016</v>
      </c>
      <c r="K55">
        <f>SQRT(Crayola[[#This Row],[ΔR^2]]*2+Crayola[[#This Row],[ΔG^2]]*4+Crayola[[#This Row],[ΔB^2]]*3)</f>
        <v>164.38065579623412</v>
      </c>
      <c r="L55" s="54"/>
      <c r="M55" s="226"/>
    </row>
    <row r="56" spans="2:13" ht="16.5" x14ac:dyDescent="0.6">
      <c r="B56" t="s">
        <v>213</v>
      </c>
      <c r="C56" t="s">
        <v>214</v>
      </c>
      <c r="D56">
        <v>237</v>
      </c>
      <c r="E56">
        <v>201</v>
      </c>
      <c r="F56">
        <v>175</v>
      </c>
      <c r="G56">
        <f>(Crayola[[#This Row],[R]]-RGB_R)^2</f>
        <v>38416</v>
      </c>
      <c r="H56">
        <f>(Crayola[[#This Row],[G]]-RGB_G)^2</f>
        <v>1521</v>
      </c>
      <c r="I56">
        <f>(Crayola[[#This Row],[B]]-RGB_B)^2</f>
        <v>676</v>
      </c>
      <c r="J56">
        <f>SQRT(Crayola[[#This Row],[ΔR^2]]+Crayola[[#This Row],[ΔG^2]]+Crayola[[#This Row],[ΔB^2]])</f>
        <v>201.52667317256046</v>
      </c>
      <c r="K56">
        <f>SQRT(Crayola[[#This Row],[ΔR^2]]*2+Crayola[[#This Row],[ΔG^2]]*4+Crayola[[#This Row],[ΔB^2]]*3)</f>
        <v>291.45153971114991</v>
      </c>
      <c r="L56" s="55"/>
      <c r="M56" s="226"/>
    </row>
    <row r="57" spans="2:13" ht="16.5" x14ac:dyDescent="0.6">
      <c r="B57" t="s">
        <v>215</v>
      </c>
      <c r="C57" t="s">
        <v>216</v>
      </c>
      <c r="D57">
        <v>79</v>
      </c>
      <c r="E57">
        <v>105</v>
      </c>
      <c r="F57">
        <v>198</v>
      </c>
      <c r="G57">
        <f>(Crayola[[#This Row],[R]]-RGB_R)^2</f>
        <v>1444</v>
      </c>
      <c r="H57">
        <f>(Crayola[[#This Row],[G]]-RGB_G)^2</f>
        <v>3249</v>
      </c>
      <c r="I57">
        <f>(Crayola[[#This Row],[B]]-RGB_B)^2</f>
        <v>2401</v>
      </c>
      <c r="J57">
        <f>SQRT(Crayola[[#This Row],[ΔR^2]]+Crayola[[#This Row],[ΔG^2]]+Crayola[[#This Row],[ΔB^2]])</f>
        <v>84.225886756982263</v>
      </c>
      <c r="K57">
        <f>SQRT(Crayola[[#This Row],[ΔR^2]]*2+Crayola[[#This Row],[ΔG^2]]*4+Crayola[[#This Row],[ΔB^2]]*3)</f>
        <v>151.94406865685806</v>
      </c>
      <c r="L57" s="56"/>
      <c r="M57" s="226"/>
    </row>
    <row r="58" spans="2:13" ht="16.5" x14ac:dyDescent="0.6">
      <c r="B58" t="s">
        <v>217</v>
      </c>
      <c r="C58" t="s">
        <v>218</v>
      </c>
      <c r="D58">
        <v>141</v>
      </c>
      <c r="E58">
        <v>144</v>
      </c>
      <c r="F58">
        <v>161</v>
      </c>
      <c r="G58">
        <f>(Crayola[[#This Row],[R]]-RGB_R)^2</f>
        <v>10000</v>
      </c>
      <c r="H58">
        <f>(Crayola[[#This Row],[G]]-RGB_G)^2</f>
        <v>324</v>
      </c>
      <c r="I58">
        <f>(Crayola[[#This Row],[B]]-RGB_B)^2</f>
        <v>144</v>
      </c>
      <c r="J58">
        <f>SQRT(Crayola[[#This Row],[ΔR^2]]+Crayola[[#This Row],[ΔG^2]]+Crayola[[#This Row],[ΔB^2]])</f>
        <v>102.3132444994293</v>
      </c>
      <c r="K58">
        <f>SQRT(Crayola[[#This Row],[ΔR^2]]*2+Crayola[[#This Row],[ΔG^2]]*4+Crayola[[#This Row],[ΔB^2]]*3)</f>
        <v>147.40420618150623</v>
      </c>
      <c r="L58" s="57"/>
      <c r="M58" s="226"/>
    </row>
    <row r="59" spans="2:13" ht="16.5" x14ac:dyDescent="0.6">
      <c r="B59" t="s">
        <v>219</v>
      </c>
      <c r="C59" t="s">
        <v>220</v>
      </c>
      <c r="D59">
        <v>153</v>
      </c>
      <c r="E59">
        <v>153</v>
      </c>
      <c r="F59">
        <v>204</v>
      </c>
      <c r="G59">
        <f>(Crayola[[#This Row],[R]]-RGB_R)^2</f>
        <v>12544</v>
      </c>
      <c r="H59">
        <f>(Crayola[[#This Row],[G]]-RGB_G)^2</f>
        <v>81</v>
      </c>
      <c r="I59">
        <f>(Crayola[[#This Row],[B]]-RGB_B)^2</f>
        <v>3025</v>
      </c>
      <c r="J59">
        <f>SQRT(Crayola[[#This Row],[ΔR^2]]+Crayola[[#This Row],[ΔG^2]]+Crayola[[#This Row],[ΔB^2]])</f>
        <v>125.09996003196804</v>
      </c>
      <c r="K59">
        <f>SQRT(Crayola[[#This Row],[ΔR^2]]*2+Crayola[[#This Row],[ΔG^2]]*4+Crayola[[#This Row],[ΔB^2]]*3)</f>
        <v>185.70675808919825</v>
      </c>
      <c r="L59" s="58"/>
      <c r="M59" s="226"/>
    </row>
    <row r="60" spans="2:13" ht="16.5" x14ac:dyDescent="0.6">
      <c r="B60" t="s">
        <v>221</v>
      </c>
      <c r="C60" t="s">
        <v>222</v>
      </c>
      <c r="D60">
        <v>100</v>
      </c>
      <c r="E60">
        <v>86</v>
      </c>
      <c r="F60">
        <v>183</v>
      </c>
      <c r="G60">
        <f>(Crayola[[#This Row],[R]]-RGB_R)^2</f>
        <v>3481</v>
      </c>
      <c r="H60">
        <f>(Crayola[[#This Row],[G]]-RGB_G)^2</f>
        <v>5776</v>
      </c>
      <c r="I60">
        <f>(Crayola[[#This Row],[B]]-RGB_B)^2</f>
        <v>1156</v>
      </c>
      <c r="J60">
        <f>SQRT(Crayola[[#This Row],[ΔR^2]]+Crayola[[#This Row],[ΔG^2]]+Crayola[[#This Row],[ΔB^2]])</f>
        <v>102.04410811016969</v>
      </c>
      <c r="K60">
        <f>SQRT(Crayola[[#This Row],[ΔR^2]]*2+Crayola[[#This Row],[ΔG^2]]*4+Crayola[[#This Row],[ΔB^2]]*3)</f>
        <v>183.12290954438225</v>
      </c>
      <c r="L60" s="59"/>
      <c r="M60" s="226"/>
    </row>
    <row r="61" spans="2:13" ht="16.5" x14ac:dyDescent="0.6">
      <c r="B61" t="s">
        <v>223</v>
      </c>
      <c r="C61" t="s">
        <v>224</v>
      </c>
      <c r="D61">
        <v>101</v>
      </c>
      <c r="E61">
        <v>45</v>
      </c>
      <c r="F61">
        <v>193</v>
      </c>
      <c r="G61">
        <f>(Crayola[[#This Row],[R]]-RGB_R)^2</f>
        <v>3600</v>
      </c>
      <c r="H61">
        <f>(Crayola[[#This Row],[G]]-RGB_G)^2</f>
        <v>13689</v>
      </c>
      <c r="I61">
        <f>(Crayola[[#This Row],[B]]-RGB_B)^2</f>
        <v>1936</v>
      </c>
      <c r="J61">
        <f>SQRT(Crayola[[#This Row],[ΔR^2]]+Crayola[[#This Row],[ΔG^2]]+Crayola[[#This Row],[ΔB^2]])</f>
        <v>138.65424623862049</v>
      </c>
      <c r="K61">
        <f>SQRT(Crayola[[#This Row],[ΔR^2]]*2+Crayola[[#This Row],[ΔG^2]]*4+Crayola[[#This Row],[ΔB^2]]*3)</f>
        <v>260.31519356349526</v>
      </c>
      <c r="L61" s="60"/>
      <c r="M61" s="226"/>
    </row>
    <row r="62" spans="2:13" ht="16.5" x14ac:dyDescent="0.6">
      <c r="B62" t="s">
        <v>225</v>
      </c>
      <c r="C62" t="s">
        <v>226</v>
      </c>
      <c r="D62">
        <v>107</v>
      </c>
      <c r="E62">
        <v>63</v>
      </c>
      <c r="F62">
        <v>160</v>
      </c>
      <c r="G62">
        <f>(Crayola[[#This Row],[R]]-RGB_R)^2</f>
        <v>4356</v>
      </c>
      <c r="H62">
        <f>(Crayola[[#This Row],[G]]-RGB_G)^2</f>
        <v>9801</v>
      </c>
      <c r="I62">
        <f>(Crayola[[#This Row],[B]]-RGB_B)^2</f>
        <v>121</v>
      </c>
      <c r="J62">
        <f>SQRT(Crayola[[#This Row],[ΔR^2]]+Crayola[[#This Row],[ΔG^2]]+Crayola[[#This Row],[ΔB^2]])</f>
        <v>119.49058540320237</v>
      </c>
      <c r="K62">
        <f>SQRT(Crayola[[#This Row],[ΔR^2]]*2+Crayola[[#This Row],[ΔG^2]]*4+Crayola[[#This Row],[ΔB^2]]*3)</f>
        <v>219.72482790981996</v>
      </c>
      <c r="L62" s="61"/>
      <c r="M62" s="226"/>
    </row>
    <row r="63" spans="2:13" ht="16.5" x14ac:dyDescent="0.6">
      <c r="B63" t="s">
        <v>227</v>
      </c>
      <c r="C63" t="s">
        <v>228</v>
      </c>
      <c r="D63">
        <v>131</v>
      </c>
      <c r="E63">
        <v>89</v>
      </c>
      <c r="F63">
        <v>163</v>
      </c>
      <c r="G63">
        <f>(Crayola[[#This Row],[R]]-RGB_R)^2</f>
        <v>8100</v>
      </c>
      <c r="H63">
        <f>(Crayola[[#This Row],[G]]-RGB_G)^2</f>
        <v>5329</v>
      </c>
      <c r="I63">
        <f>(Crayola[[#This Row],[B]]-RGB_B)^2</f>
        <v>196</v>
      </c>
      <c r="J63">
        <f>SQRT(Crayola[[#This Row],[ΔR^2]]+Crayola[[#This Row],[ΔG^2]]+Crayola[[#This Row],[ΔB^2]])</f>
        <v>116.72617529928752</v>
      </c>
      <c r="K63">
        <f>SQRT(Crayola[[#This Row],[ΔR^2]]*2+Crayola[[#This Row],[ΔG^2]]*4+Crayola[[#This Row],[ΔB^2]]*3)</f>
        <v>195.20245900090501</v>
      </c>
      <c r="L63" s="62"/>
      <c r="M63" s="226"/>
    </row>
    <row r="64" spans="2:13" ht="16.5" x14ac:dyDescent="0.6">
      <c r="B64" t="s">
        <v>229</v>
      </c>
      <c r="C64" t="s">
        <v>230</v>
      </c>
      <c r="D64">
        <v>201</v>
      </c>
      <c r="E64">
        <v>160</v>
      </c>
      <c r="F64">
        <v>220</v>
      </c>
      <c r="G64">
        <f>(Crayola[[#This Row],[R]]-RGB_R)^2</f>
        <v>25600</v>
      </c>
      <c r="H64">
        <f>(Crayola[[#This Row],[G]]-RGB_G)^2</f>
        <v>4</v>
      </c>
      <c r="I64">
        <f>(Crayola[[#This Row],[B]]-RGB_B)^2</f>
        <v>5041</v>
      </c>
      <c r="J64">
        <f>SQRT(Crayola[[#This Row],[ΔR^2]]+Crayola[[#This Row],[ΔG^2]]+Crayola[[#This Row],[ΔB^2]])</f>
        <v>175.05713353074191</v>
      </c>
      <c r="K64">
        <f>SQRT(Crayola[[#This Row],[ΔR^2]]*2+Crayola[[#This Row],[ΔG^2]]*4+Crayola[[#This Row],[ΔB^2]]*3)</f>
        <v>257.5635843825753</v>
      </c>
      <c r="L64" s="63"/>
      <c r="M64" s="226"/>
    </row>
    <row r="65" spans="2:13" ht="16.5" x14ac:dyDescent="0.6">
      <c r="B65" t="s">
        <v>231</v>
      </c>
      <c r="C65" t="s">
        <v>232</v>
      </c>
      <c r="D65">
        <v>128</v>
      </c>
      <c r="E65">
        <v>55</v>
      </c>
      <c r="F65">
        <v>144</v>
      </c>
      <c r="G65">
        <f>(Crayola[[#This Row],[R]]-RGB_R)^2</f>
        <v>7569</v>
      </c>
      <c r="H65">
        <f>(Crayola[[#This Row],[G]]-RGB_G)^2</f>
        <v>11449</v>
      </c>
      <c r="I65">
        <f>(Crayola[[#This Row],[B]]-RGB_B)^2</f>
        <v>25</v>
      </c>
      <c r="J65">
        <f>SQRT(Crayola[[#This Row],[ΔR^2]]+Crayola[[#This Row],[ΔG^2]]+Crayola[[#This Row],[ΔB^2]])</f>
        <v>137.99637676402958</v>
      </c>
      <c r="K65">
        <f>SQRT(Crayola[[#This Row],[ΔR^2]]*2+Crayola[[#This Row],[ΔG^2]]*4+Crayola[[#This Row],[ΔB^2]]*3)</f>
        <v>247</v>
      </c>
      <c r="L65" s="64"/>
      <c r="M65" s="226"/>
    </row>
    <row r="66" spans="2:13" ht="16.5" x14ac:dyDescent="0.6">
      <c r="B66" t="s">
        <v>233</v>
      </c>
      <c r="C66" t="s">
        <v>234</v>
      </c>
      <c r="D66">
        <v>214</v>
      </c>
      <c r="E66">
        <v>174</v>
      </c>
      <c r="F66">
        <v>221</v>
      </c>
      <c r="G66">
        <f>(Crayola[[#This Row],[R]]-RGB_R)^2</f>
        <v>29929</v>
      </c>
      <c r="H66">
        <f>(Crayola[[#This Row],[G]]-RGB_G)^2</f>
        <v>144</v>
      </c>
      <c r="I66">
        <f>(Crayola[[#This Row],[B]]-RGB_B)^2</f>
        <v>5184</v>
      </c>
      <c r="J66">
        <f>SQRT(Crayola[[#This Row],[ΔR^2]]+Crayola[[#This Row],[ΔG^2]]+Crayola[[#This Row],[ΔB^2]])</f>
        <v>187.76847445724215</v>
      </c>
      <c r="K66">
        <f>SQRT(Crayola[[#This Row],[ΔR^2]]*2+Crayola[[#This Row],[ΔG^2]]*4+Crayola[[#This Row],[ΔB^2]]*3)</f>
        <v>275.65558220358969</v>
      </c>
      <c r="L66" s="65"/>
      <c r="M66" s="226"/>
    </row>
    <row r="67" spans="2:13" ht="16.5" x14ac:dyDescent="0.6">
      <c r="B67" t="s">
        <v>235</v>
      </c>
      <c r="C67" t="s">
        <v>236</v>
      </c>
      <c r="D67">
        <v>193</v>
      </c>
      <c r="E67">
        <v>84</v>
      </c>
      <c r="F67">
        <v>193</v>
      </c>
      <c r="G67">
        <f>(Crayola[[#This Row],[R]]-RGB_R)^2</f>
        <v>23104</v>
      </c>
      <c r="H67">
        <f>(Crayola[[#This Row],[G]]-RGB_G)^2</f>
        <v>6084</v>
      </c>
      <c r="I67">
        <f>(Crayola[[#This Row],[B]]-RGB_B)^2</f>
        <v>1936</v>
      </c>
      <c r="J67">
        <f>SQRT(Crayola[[#This Row],[ΔR^2]]+Crayola[[#This Row],[ΔG^2]]+Crayola[[#This Row],[ΔB^2]])</f>
        <v>176.41995352000293</v>
      </c>
      <c r="K67">
        <f>SQRT(Crayola[[#This Row],[ΔR^2]]*2+Crayola[[#This Row],[ΔG^2]]*4+Crayola[[#This Row],[ΔB^2]]*3)</f>
        <v>276.31865662672868</v>
      </c>
      <c r="L67" s="66"/>
      <c r="M67" s="226"/>
    </row>
    <row r="68" spans="2:13" ht="16.5" x14ac:dyDescent="0.6">
      <c r="B68" t="s">
        <v>237</v>
      </c>
      <c r="C68" t="s">
        <v>238</v>
      </c>
      <c r="D68">
        <v>252</v>
      </c>
      <c r="E68">
        <v>116</v>
      </c>
      <c r="F68">
        <v>253</v>
      </c>
      <c r="G68">
        <f>(Crayola[[#This Row],[R]]-RGB_R)^2</f>
        <v>44521</v>
      </c>
      <c r="H68">
        <f>(Crayola[[#This Row],[G]]-RGB_G)^2</f>
        <v>2116</v>
      </c>
      <c r="I68">
        <f>(Crayola[[#This Row],[B]]-RGB_B)^2</f>
        <v>10816</v>
      </c>
      <c r="J68">
        <f>SQRT(Crayola[[#This Row],[ΔR^2]]+Crayola[[#This Row],[ΔG^2]]+Crayola[[#This Row],[ΔB^2]])</f>
        <v>239.69355435639065</v>
      </c>
      <c r="K68">
        <f>SQRT(Crayola[[#This Row],[ΔR^2]]*2+Crayola[[#This Row],[ΔG^2]]*4+Crayola[[#This Row],[ΔB^2]]*3)</f>
        <v>360.49133137982665</v>
      </c>
      <c r="L68" s="67"/>
      <c r="M68" s="226"/>
    </row>
    <row r="69" spans="2:13" ht="16.5" x14ac:dyDescent="0.6">
      <c r="B69" t="s">
        <v>239</v>
      </c>
      <c r="C69" t="s">
        <v>240</v>
      </c>
      <c r="D69">
        <v>226</v>
      </c>
      <c r="E69">
        <v>156</v>
      </c>
      <c r="F69">
        <v>210</v>
      </c>
      <c r="G69">
        <f>(Crayola[[#This Row],[R]]-RGB_R)^2</f>
        <v>34225</v>
      </c>
      <c r="H69">
        <f>(Crayola[[#This Row],[G]]-RGB_G)^2</f>
        <v>36</v>
      </c>
      <c r="I69">
        <f>(Crayola[[#This Row],[B]]-RGB_B)^2</f>
        <v>3721</v>
      </c>
      <c r="J69">
        <f>SQRT(Crayola[[#This Row],[ΔR^2]]+Crayola[[#This Row],[ΔG^2]]+Crayola[[#This Row],[ΔB^2]])</f>
        <v>194.88971240165552</v>
      </c>
      <c r="K69">
        <f>SQRT(Crayola[[#This Row],[ΔR^2]]*2+Crayola[[#This Row],[ΔG^2]]*4+Crayola[[#This Row],[ΔB^2]]*3)</f>
        <v>282.412818405964</v>
      </c>
      <c r="L69" s="68"/>
      <c r="M69" s="226"/>
    </row>
    <row r="70" spans="2:13" ht="16.5" x14ac:dyDescent="0.6">
      <c r="B70" t="s">
        <v>241</v>
      </c>
      <c r="C70" t="s">
        <v>242</v>
      </c>
      <c r="D70">
        <v>142</v>
      </c>
      <c r="E70">
        <v>49</v>
      </c>
      <c r="F70">
        <v>121</v>
      </c>
      <c r="G70">
        <f>(Crayola[[#This Row],[R]]-RGB_R)^2</f>
        <v>10201</v>
      </c>
      <c r="H70">
        <f>(Crayola[[#This Row],[G]]-RGB_G)^2</f>
        <v>12769</v>
      </c>
      <c r="I70">
        <f>(Crayola[[#This Row],[B]]-RGB_B)^2</f>
        <v>784</v>
      </c>
      <c r="J70">
        <f>SQRT(Crayola[[#This Row],[ΔR^2]]+Crayola[[#This Row],[ΔG^2]]+Crayola[[#This Row],[ΔB^2]])</f>
        <v>154.12332724153083</v>
      </c>
      <c r="K70">
        <f>SQRT(Crayola[[#This Row],[ΔR^2]]*2+Crayola[[#This Row],[ΔG^2]]*4+Crayola[[#This Row],[ΔB^2]]*3)</f>
        <v>271.71676429694213</v>
      </c>
      <c r="L70" s="69"/>
      <c r="M70" s="226"/>
    </row>
    <row r="71" spans="2:13" ht="16.5" x14ac:dyDescent="0.6">
      <c r="B71" t="s">
        <v>243</v>
      </c>
      <c r="C71" t="s">
        <v>244</v>
      </c>
      <c r="D71">
        <v>187</v>
      </c>
      <c r="E71">
        <v>51</v>
      </c>
      <c r="F71">
        <v>133</v>
      </c>
      <c r="G71">
        <f>(Crayola[[#This Row],[R]]-RGB_R)^2</f>
        <v>21316</v>
      </c>
      <c r="H71">
        <f>(Crayola[[#This Row],[G]]-RGB_G)^2</f>
        <v>12321</v>
      </c>
      <c r="I71">
        <f>(Crayola[[#This Row],[B]]-RGB_B)^2</f>
        <v>256</v>
      </c>
      <c r="J71">
        <f>SQRT(Crayola[[#This Row],[ΔR^2]]+Crayola[[#This Row],[ΔG^2]]+Crayola[[#This Row],[ΔB^2]])</f>
        <v>184.10051602317685</v>
      </c>
      <c r="K71">
        <f>SQRT(Crayola[[#This Row],[ΔR^2]]*2+Crayola[[#This Row],[ΔG^2]]*4+Crayola[[#This Row],[ΔB^2]]*3)</f>
        <v>304.44047037146686</v>
      </c>
      <c r="L71" s="70"/>
      <c r="M71" s="226"/>
    </row>
    <row r="72" spans="2:13" ht="16.5" x14ac:dyDescent="0.6">
      <c r="B72" t="s">
        <v>245</v>
      </c>
      <c r="C72" t="s">
        <v>246</v>
      </c>
      <c r="D72">
        <v>165</v>
      </c>
      <c r="E72">
        <v>11</v>
      </c>
      <c r="F72">
        <v>94</v>
      </c>
      <c r="G72">
        <f>(Crayola[[#This Row],[R]]-RGB_R)^2</f>
        <v>15376</v>
      </c>
      <c r="H72">
        <f>(Crayola[[#This Row],[G]]-RGB_G)^2</f>
        <v>22801</v>
      </c>
      <c r="I72">
        <f>(Crayola[[#This Row],[B]]-RGB_B)^2</f>
        <v>3025</v>
      </c>
      <c r="J72">
        <f>SQRT(Crayola[[#This Row],[ΔR^2]]+Crayola[[#This Row],[ΔG^2]]+Crayola[[#This Row],[ΔB^2]])</f>
        <v>202.98275788844725</v>
      </c>
      <c r="K72">
        <f>SQRT(Crayola[[#This Row],[ΔR^2]]*2+Crayola[[#This Row],[ΔG^2]]*4+Crayola[[#This Row],[ΔB^2]]*3)</f>
        <v>361.98204375355414</v>
      </c>
      <c r="L72" s="71"/>
      <c r="M72" s="226"/>
    </row>
    <row r="73" spans="2:13" ht="16.5" x14ac:dyDescent="0.6">
      <c r="B73" t="s">
        <v>247</v>
      </c>
      <c r="C73" t="s">
        <v>248</v>
      </c>
      <c r="D73">
        <v>97</v>
      </c>
      <c r="E73">
        <v>64</v>
      </c>
      <c r="F73">
        <v>81</v>
      </c>
      <c r="G73">
        <f>(Crayola[[#This Row],[R]]-RGB_R)^2</f>
        <v>3136</v>
      </c>
      <c r="H73">
        <f>(Crayola[[#This Row],[G]]-RGB_G)^2</f>
        <v>9604</v>
      </c>
      <c r="I73">
        <f>(Crayola[[#This Row],[B]]-RGB_B)^2</f>
        <v>4624</v>
      </c>
      <c r="J73">
        <f>SQRT(Crayola[[#This Row],[ΔR^2]]+Crayola[[#This Row],[ΔG^2]]+Crayola[[#This Row],[ΔB^2]])</f>
        <v>131.77253128023307</v>
      </c>
      <c r="K73">
        <f>SQRT(Crayola[[#This Row],[ΔR^2]]*2+Crayola[[#This Row],[ΔG^2]]*4+Crayola[[#This Row],[ΔB^2]]*3)</f>
        <v>241.99173539606679</v>
      </c>
      <c r="L73" s="72"/>
      <c r="M73" s="226"/>
    </row>
    <row r="74" spans="2:13" ht="16.5" x14ac:dyDescent="0.6">
      <c r="B74" t="s">
        <v>249</v>
      </c>
      <c r="C74" t="s">
        <v>250</v>
      </c>
      <c r="D74">
        <v>246</v>
      </c>
      <c r="E74">
        <v>83</v>
      </c>
      <c r="F74">
        <v>166</v>
      </c>
      <c r="G74">
        <f>(Crayola[[#This Row],[R]]-RGB_R)^2</f>
        <v>42025</v>
      </c>
      <c r="H74">
        <f>(Crayola[[#This Row],[G]]-RGB_G)^2</f>
        <v>6241</v>
      </c>
      <c r="I74">
        <f>(Crayola[[#This Row],[B]]-RGB_B)^2</f>
        <v>289</v>
      </c>
      <c r="J74">
        <f>SQRT(Crayola[[#This Row],[ΔR^2]]+Crayola[[#This Row],[ΔG^2]]+Crayola[[#This Row],[ΔB^2]])</f>
        <v>220.35199114144623</v>
      </c>
      <c r="K74">
        <f>SQRT(Crayola[[#This Row],[ΔR^2]]*2+Crayola[[#This Row],[ΔG^2]]*4+Crayola[[#This Row],[ΔB^2]]*3)</f>
        <v>331.48303123991127</v>
      </c>
      <c r="L74" s="73"/>
      <c r="M74" s="226"/>
    </row>
    <row r="75" spans="2:13" ht="16.5" x14ac:dyDescent="0.6">
      <c r="B75" t="s">
        <v>251</v>
      </c>
      <c r="C75" t="s">
        <v>252</v>
      </c>
      <c r="D75">
        <v>218</v>
      </c>
      <c r="E75">
        <v>50</v>
      </c>
      <c r="F75">
        <v>135</v>
      </c>
      <c r="G75">
        <f>(Crayola[[#This Row],[R]]-RGB_R)^2</f>
        <v>31329</v>
      </c>
      <c r="H75">
        <f>(Crayola[[#This Row],[G]]-RGB_G)^2</f>
        <v>12544</v>
      </c>
      <c r="I75">
        <f>(Crayola[[#This Row],[B]]-RGB_B)^2</f>
        <v>196</v>
      </c>
      <c r="J75">
        <f>SQRT(Crayola[[#This Row],[ΔR^2]]+Crayola[[#This Row],[ΔG^2]]+Crayola[[#This Row],[ΔB^2]])</f>
        <v>209.92617750056803</v>
      </c>
      <c r="K75">
        <f>SQRT(Crayola[[#This Row],[ΔR^2]]*2+Crayola[[#This Row],[ΔG^2]]*4+Crayola[[#This Row],[ΔB^2]]*3)</f>
        <v>336.78182848841476</v>
      </c>
      <c r="L75" s="74"/>
      <c r="M75" s="226"/>
    </row>
    <row r="76" spans="2:13" ht="16.5" x14ac:dyDescent="0.6">
      <c r="B76" t="s">
        <v>253</v>
      </c>
      <c r="C76" t="s">
        <v>254</v>
      </c>
      <c r="D76">
        <v>255</v>
      </c>
      <c r="E76">
        <v>51</v>
      </c>
      <c r="F76">
        <v>153</v>
      </c>
      <c r="G76">
        <f>(Crayola[[#This Row],[R]]-RGB_R)^2</f>
        <v>45796</v>
      </c>
      <c r="H76">
        <f>(Crayola[[#This Row],[G]]-RGB_G)^2</f>
        <v>12321</v>
      </c>
      <c r="I76">
        <f>(Crayola[[#This Row],[B]]-RGB_B)^2</f>
        <v>16</v>
      </c>
      <c r="J76">
        <f>SQRT(Crayola[[#This Row],[ΔR^2]]+Crayola[[#This Row],[ΔG^2]]+Crayola[[#This Row],[ΔB^2]])</f>
        <v>241.10785968109792</v>
      </c>
      <c r="K76">
        <f>SQRT(Crayola[[#This Row],[ΔR^2]]*2+Crayola[[#This Row],[ΔG^2]]*4+Crayola[[#This Row],[ΔB^2]]*3)</f>
        <v>375.39845497817385</v>
      </c>
      <c r="L76" s="75"/>
      <c r="M76" s="226"/>
    </row>
    <row r="77" spans="2:13" ht="16.5" x14ac:dyDescent="0.6">
      <c r="B77" t="s">
        <v>255</v>
      </c>
      <c r="C77" t="s">
        <v>256</v>
      </c>
      <c r="D77">
        <v>21</v>
      </c>
      <c r="E77">
        <v>96</v>
      </c>
      <c r="F77">
        <v>189</v>
      </c>
      <c r="G77">
        <f>(Crayola[[#This Row],[R]]-RGB_R)^2</f>
        <v>400</v>
      </c>
      <c r="H77">
        <f>(Crayola[[#This Row],[G]]-RGB_G)^2</f>
        <v>4356</v>
      </c>
      <c r="I77">
        <f>(Crayola[[#This Row],[B]]-RGB_B)^2</f>
        <v>1600</v>
      </c>
      <c r="J77">
        <f>SQRT(Crayola[[#This Row],[ΔR^2]]+Crayola[[#This Row],[ΔG^2]]+Crayola[[#This Row],[ΔB^2]])</f>
        <v>79.724525711978998</v>
      </c>
      <c r="K77">
        <f>SQRT(Crayola[[#This Row],[ΔR^2]]*2+Crayola[[#This Row],[ΔG^2]]*4+Crayola[[#This Row],[ΔB^2]]*3)</f>
        <v>151.73661390712527</v>
      </c>
      <c r="L77" s="76"/>
      <c r="M77" s="226"/>
    </row>
    <row r="78" spans="2:13" ht="16.5" x14ac:dyDescent="0.6">
      <c r="B78" t="s">
        <v>257</v>
      </c>
      <c r="C78" t="s">
        <v>258</v>
      </c>
      <c r="D78">
        <v>255</v>
      </c>
      <c r="E78">
        <v>183</v>
      </c>
      <c r="F78">
        <v>213</v>
      </c>
      <c r="G78">
        <f>(Crayola[[#This Row],[R]]-RGB_R)^2</f>
        <v>45796</v>
      </c>
      <c r="H78">
        <f>(Crayola[[#This Row],[G]]-RGB_G)^2</f>
        <v>441</v>
      </c>
      <c r="I78">
        <f>(Crayola[[#This Row],[B]]-RGB_B)^2</f>
        <v>4096</v>
      </c>
      <c r="J78">
        <f>SQRT(Crayola[[#This Row],[ΔR^2]]+Crayola[[#This Row],[ΔG^2]]+Crayola[[#This Row],[ΔB^2]])</f>
        <v>224.35017272112808</v>
      </c>
      <c r="K78">
        <f>SQRT(Crayola[[#This Row],[ΔR^2]]*2+Crayola[[#This Row],[ΔG^2]]*4+Crayola[[#This Row],[ΔB^2]]*3)</f>
        <v>325.02922945482919</v>
      </c>
      <c r="L78" s="77"/>
      <c r="M78" s="226"/>
    </row>
    <row r="79" spans="2:13" ht="16.5" x14ac:dyDescent="0.6">
      <c r="B79" t="s">
        <v>259</v>
      </c>
      <c r="C79" t="s">
        <v>260</v>
      </c>
      <c r="D79">
        <v>255</v>
      </c>
      <c r="E79">
        <v>166</v>
      </c>
      <c r="F79">
        <v>201</v>
      </c>
      <c r="G79">
        <f>(Crayola[[#This Row],[R]]-RGB_R)^2</f>
        <v>45796</v>
      </c>
      <c r="H79">
        <f>(Crayola[[#This Row],[G]]-RGB_G)^2</f>
        <v>16</v>
      </c>
      <c r="I79">
        <f>(Crayola[[#This Row],[B]]-RGB_B)^2</f>
        <v>2704</v>
      </c>
      <c r="J79">
        <f>SQRT(Crayola[[#This Row],[ΔR^2]]+Crayola[[#This Row],[ΔG^2]]+Crayola[[#This Row],[ΔB^2]])</f>
        <v>220.26347858871202</v>
      </c>
      <c r="K79">
        <f>SQRT(Crayola[[#This Row],[ΔR^2]]*2+Crayola[[#This Row],[ΔG^2]]*4+Crayola[[#This Row],[ΔB^2]]*3)</f>
        <v>315.86072880305966</v>
      </c>
      <c r="L79" s="78"/>
      <c r="M79" s="226"/>
    </row>
    <row r="80" spans="2:13" ht="16.5" x14ac:dyDescent="0.6">
      <c r="B80" t="s">
        <v>261</v>
      </c>
      <c r="C80" t="s">
        <v>262</v>
      </c>
      <c r="D80">
        <v>247</v>
      </c>
      <c r="E80">
        <v>70</v>
      </c>
      <c r="F80">
        <v>138</v>
      </c>
      <c r="G80">
        <f>(Crayola[[#This Row],[R]]-RGB_R)^2</f>
        <v>42436</v>
      </c>
      <c r="H80">
        <f>(Crayola[[#This Row],[G]]-RGB_G)^2</f>
        <v>8464</v>
      </c>
      <c r="I80">
        <f>(Crayola[[#This Row],[B]]-RGB_B)^2</f>
        <v>121</v>
      </c>
      <c r="J80">
        <f>SQRT(Crayola[[#This Row],[ΔR^2]]+Crayola[[#This Row],[ΔG^2]]+Crayola[[#This Row],[ΔB^2]])</f>
        <v>225.87828580897281</v>
      </c>
      <c r="K80">
        <f>SQRT(Crayola[[#This Row],[ΔR^2]]*2+Crayola[[#This Row],[ΔG^2]]*4+Crayola[[#This Row],[ΔB^2]]*3)</f>
        <v>345.09563891767743</v>
      </c>
      <c r="L80" s="79"/>
      <c r="M80" s="226"/>
    </row>
    <row r="81" spans="2:13" ht="16.5" x14ac:dyDescent="0.6">
      <c r="B81" t="s">
        <v>263</v>
      </c>
      <c r="C81" t="s">
        <v>264</v>
      </c>
      <c r="D81">
        <v>227</v>
      </c>
      <c r="E81">
        <v>11</v>
      </c>
      <c r="F81">
        <v>92</v>
      </c>
      <c r="G81">
        <f>(Crayola[[#This Row],[R]]-RGB_R)^2</f>
        <v>34596</v>
      </c>
      <c r="H81">
        <f>(Crayola[[#This Row],[G]]-RGB_G)^2</f>
        <v>22801</v>
      </c>
      <c r="I81">
        <f>(Crayola[[#This Row],[B]]-RGB_B)^2</f>
        <v>3249</v>
      </c>
      <c r="J81">
        <f>SQRT(Crayola[[#This Row],[ΔR^2]]+Crayola[[#This Row],[ΔG^2]]+Crayola[[#This Row],[ΔB^2]])</f>
        <v>246.26408589154855</v>
      </c>
      <c r="K81">
        <f>SQRT(Crayola[[#This Row],[ΔR^2]]*2+Crayola[[#This Row],[ΔG^2]]*4+Crayola[[#This Row],[ΔB^2]]*3)</f>
        <v>412.48393908126894</v>
      </c>
      <c r="L81" s="80"/>
      <c r="M81" s="226"/>
    </row>
    <row r="82" spans="2:13" ht="16.5" x14ac:dyDescent="0.6">
      <c r="B82" t="s">
        <v>265</v>
      </c>
      <c r="C82" t="s">
        <v>266</v>
      </c>
      <c r="D82">
        <v>219</v>
      </c>
      <c r="E82">
        <v>80</v>
      </c>
      <c r="F82">
        <v>121</v>
      </c>
      <c r="G82">
        <f>(Crayola[[#This Row],[R]]-RGB_R)^2</f>
        <v>31684</v>
      </c>
      <c r="H82">
        <f>(Crayola[[#This Row],[G]]-RGB_G)^2</f>
        <v>6724</v>
      </c>
      <c r="I82">
        <f>(Crayola[[#This Row],[B]]-RGB_B)^2</f>
        <v>784</v>
      </c>
      <c r="J82">
        <f>SQRT(Crayola[[#This Row],[ΔR^2]]+Crayola[[#This Row],[ΔG^2]]+Crayola[[#This Row],[ΔB^2]])</f>
        <v>197.96969465046917</v>
      </c>
      <c r="K82">
        <f>SQRT(Crayola[[#This Row],[ΔR^2]]*2+Crayola[[#This Row],[ΔG^2]]*4+Crayola[[#This Row],[ΔB^2]]*3)</f>
        <v>304.32876958973168</v>
      </c>
      <c r="L82" s="81"/>
      <c r="M82" s="226"/>
    </row>
    <row r="83" spans="2:13" ht="16.5" x14ac:dyDescent="0.6">
      <c r="B83" t="s">
        <v>267</v>
      </c>
      <c r="C83" t="s">
        <v>268</v>
      </c>
      <c r="D83">
        <v>252</v>
      </c>
      <c r="E83">
        <v>128</v>
      </c>
      <c r="F83">
        <v>165</v>
      </c>
      <c r="G83">
        <f>(Crayola[[#This Row],[R]]-RGB_R)^2</f>
        <v>44521</v>
      </c>
      <c r="H83">
        <f>(Crayola[[#This Row],[G]]-RGB_G)^2</f>
        <v>1156</v>
      </c>
      <c r="I83">
        <f>(Crayola[[#This Row],[B]]-RGB_B)^2</f>
        <v>256</v>
      </c>
      <c r="J83">
        <f>SQRT(Crayola[[#This Row],[ΔR^2]]+Crayola[[#This Row],[ΔG^2]]+Crayola[[#This Row],[ΔB^2]])</f>
        <v>214.31985442324284</v>
      </c>
      <c r="K83">
        <f>SQRT(Crayola[[#This Row],[ΔR^2]]*2+Crayola[[#This Row],[ΔG^2]]*4+Crayola[[#This Row],[ΔB^2]]*3)</f>
        <v>307.30115522073783</v>
      </c>
      <c r="L83" s="82"/>
      <c r="M83" s="226"/>
    </row>
    <row r="84" spans="2:13" ht="16.5" x14ac:dyDescent="0.6">
      <c r="B84" t="s">
        <v>269</v>
      </c>
      <c r="C84" t="s">
        <v>270</v>
      </c>
      <c r="D84">
        <v>240</v>
      </c>
      <c r="E84">
        <v>145</v>
      </c>
      <c r="F84">
        <v>169</v>
      </c>
      <c r="G84">
        <f>(Crayola[[#This Row],[R]]-RGB_R)^2</f>
        <v>39601</v>
      </c>
      <c r="H84">
        <f>(Crayola[[#This Row],[G]]-RGB_G)^2</f>
        <v>289</v>
      </c>
      <c r="I84">
        <f>(Crayola[[#This Row],[B]]-RGB_B)^2</f>
        <v>400</v>
      </c>
      <c r="J84">
        <f>SQRT(Crayola[[#This Row],[ΔR^2]]+Crayola[[#This Row],[ΔG^2]]+Crayola[[#This Row],[ΔB^2]])</f>
        <v>200.723690679501</v>
      </c>
      <c r="K84">
        <f>SQRT(Crayola[[#This Row],[ΔR^2]]*2+Crayola[[#This Row],[ΔG^2]]*4+Crayola[[#This Row],[ΔB^2]]*3)</f>
        <v>285.5836129752546</v>
      </c>
      <c r="L84" s="83"/>
      <c r="M84" s="226"/>
    </row>
    <row r="85" spans="2:13" ht="16.5" x14ac:dyDescent="0.6">
      <c r="B85" t="s">
        <v>271</v>
      </c>
      <c r="C85" t="s">
        <v>272</v>
      </c>
      <c r="D85">
        <v>255</v>
      </c>
      <c r="E85">
        <v>145</v>
      </c>
      <c r="F85">
        <v>164</v>
      </c>
      <c r="G85">
        <f>(Crayola[[#This Row],[R]]-RGB_R)^2</f>
        <v>45796</v>
      </c>
      <c r="H85">
        <f>(Crayola[[#This Row],[G]]-RGB_G)^2</f>
        <v>289</v>
      </c>
      <c r="I85">
        <f>(Crayola[[#This Row],[B]]-RGB_B)^2</f>
        <v>225</v>
      </c>
      <c r="J85">
        <f>SQRT(Crayola[[#This Row],[ΔR^2]]+Crayola[[#This Row],[ΔG^2]]+Crayola[[#This Row],[ΔB^2]])</f>
        <v>215.19758362955659</v>
      </c>
      <c r="K85">
        <f>SQRT(Crayola[[#This Row],[ΔR^2]]*2+Crayola[[#This Row],[ΔG^2]]*4+Crayola[[#This Row],[ΔB^2]]*3)</f>
        <v>305.65176263192069</v>
      </c>
      <c r="L85" s="84"/>
      <c r="M85" s="226"/>
    </row>
    <row r="86" spans="2:13" ht="16.5" x14ac:dyDescent="0.6">
      <c r="B86" t="s">
        <v>273</v>
      </c>
      <c r="C86" t="s">
        <v>274</v>
      </c>
      <c r="D86">
        <v>202</v>
      </c>
      <c r="E86">
        <v>52</v>
      </c>
      <c r="F86">
        <v>53</v>
      </c>
      <c r="G86">
        <f>(Crayola[[#This Row],[R]]-RGB_R)^2</f>
        <v>25921</v>
      </c>
      <c r="H86">
        <f>(Crayola[[#This Row],[G]]-RGB_G)^2</f>
        <v>12100</v>
      </c>
      <c r="I86">
        <f>(Crayola[[#This Row],[B]]-RGB_B)^2</f>
        <v>9216</v>
      </c>
      <c r="J86">
        <f>SQRT(Crayola[[#This Row],[ΔR^2]]+Crayola[[#This Row],[ΔG^2]]+Crayola[[#This Row],[ΔB^2]])</f>
        <v>217.34074629484459</v>
      </c>
      <c r="K86">
        <f>SQRT(Crayola[[#This Row],[ΔR^2]]*2+Crayola[[#This Row],[ΔG^2]]*4+Crayola[[#This Row],[ΔB^2]]*3)</f>
        <v>357.61711368445441</v>
      </c>
      <c r="L86" s="85"/>
      <c r="M86" s="226"/>
    </row>
    <row r="87" spans="2:13" ht="16.5" x14ac:dyDescent="0.6">
      <c r="B87" t="s">
        <v>275</v>
      </c>
      <c r="C87" t="s">
        <v>276</v>
      </c>
      <c r="D87">
        <v>254</v>
      </c>
      <c r="E87">
        <v>186</v>
      </c>
      <c r="F87">
        <v>173</v>
      </c>
      <c r="G87">
        <f>(Crayola[[#This Row],[R]]-RGB_R)^2</f>
        <v>45369</v>
      </c>
      <c r="H87">
        <f>(Crayola[[#This Row],[G]]-RGB_G)^2</f>
        <v>576</v>
      </c>
      <c r="I87">
        <f>(Crayola[[#This Row],[B]]-RGB_B)^2</f>
        <v>576</v>
      </c>
      <c r="J87">
        <f>SQRT(Crayola[[#This Row],[ΔR^2]]+Crayola[[#This Row],[ΔG^2]]+Crayola[[#This Row],[ΔB^2]])</f>
        <v>215.68727361622427</v>
      </c>
      <c r="K87">
        <f>SQRT(Crayola[[#This Row],[ΔR^2]]*2+Crayola[[#This Row],[ΔG^2]]*4+Crayola[[#This Row],[ΔB^2]]*3)</f>
        <v>307.84736477676728</v>
      </c>
      <c r="L87" s="86"/>
      <c r="M87" s="226"/>
    </row>
    <row r="88" spans="2:13" ht="16.5" x14ac:dyDescent="0.6">
      <c r="B88" t="s">
        <v>277</v>
      </c>
      <c r="C88" t="s">
        <v>278</v>
      </c>
      <c r="D88">
        <v>247</v>
      </c>
      <c r="E88">
        <v>163</v>
      </c>
      <c r="F88">
        <v>142</v>
      </c>
      <c r="G88">
        <f>(Crayola[[#This Row],[R]]-RGB_R)^2</f>
        <v>42436</v>
      </c>
      <c r="H88">
        <f>(Crayola[[#This Row],[G]]-RGB_G)^2</f>
        <v>1</v>
      </c>
      <c r="I88">
        <f>(Crayola[[#This Row],[B]]-RGB_B)^2</f>
        <v>49</v>
      </c>
      <c r="J88">
        <f>SQRT(Crayola[[#This Row],[ΔR^2]]+Crayola[[#This Row],[ΔG^2]]+Crayola[[#This Row],[ΔB^2]])</f>
        <v>206.1213234966242</v>
      </c>
      <c r="K88">
        <f>SQRT(Crayola[[#This Row],[ΔR^2]]*2+Crayola[[#This Row],[ΔG^2]]*4+Crayola[[#This Row],[ΔB^2]]*3)</f>
        <v>291.5870367488925</v>
      </c>
      <c r="L88" s="87"/>
      <c r="M88" s="226"/>
    </row>
    <row r="89" spans="2:13" ht="16.5" x14ac:dyDescent="0.6">
      <c r="B89" t="s">
        <v>279</v>
      </c>
      <c r="C89" t="s">
        <v>280</v>
      </c>
      <c r="D89">
        <v>233</v>
      </c>
      <c r="E89">
        <v>116</v>
      </c>
      <c r="F89">
        <v>81</v>
      </c>
      <c r="G89">
        <f>(Crayola[[#This Row],[R]]-RGB_R)^2</f>
        <v>36864</v>
      </c>
      <c r="H89">
        <f>(Crayola[[#This Row],[G]]-RGB_G)^2</f>
        <v>2116</v>
      </c>
      <c r="I89">
        <f>(Crayola[[#This Row],[B]]-RGB_B)^2</f>
        <v>4624</v>
      </c>
      <c r="J89">
        <f>SQRT(Crayola[[#This Row],[ΔR^2]]+Crayola[[#This Row],[ΔG^2]]+Crayola[[#This Row],[ΔB^2]])</f>
        <v>208.81570822138838</v>
      </c>
      <c r="K89">
        <f>SQRT(Crayola[[#This Row],[ΔR^2]]*2+Crayola[[#This Row],[ΔG^2]]*4+Crayola[[#This Row],[ΔB^2]]*3)</f>
        <v>309.94193004496827</v>
      </c>
      <c r="L89" s="88"/>
      <c r="M89" s="226"/>
    </row>
    <row r="90" spans="2:13" ht="16.5" x14ac:dyDescent="0.6">
      <c r="B90" t="s">
        <v>281</v>
      </c>
      <c r="C90" t="s">
        <v>282</v>
      </c>
      <c r="D90">
        <v>175</v>
      </c>
      <c r="E90">
        <v>89</v>
      </c>
      <c r="F90">
        <v>62</v>
      </c>
      <c r="G90">
        <f>(Crayola[[#This Row],[R]]-RGB_R)^2</f>
        <v>17956</v>
      </c>
      <c r="H90">
        <f>(Crayola[[#This Row],[G]]-RGB_G)^2</f>
        <v>5329</v>
      </c>
      <c r="I90">
        <f>(Crayola[[#This Row],[B]]-RGB_B)^2</f>
        <v>7569</v>
      </c>
      <c r="J90">
        <f>SQRT(Crayola[[#This Row],[ΔR^2]]+Crayola[[#This Row],[ΔG^2]]+Crayola[[#This Row],[ΔB^2]])</f>
        <v>175.65306715227035</v>
      </c>
      <c r="K90">
        <f>SQRT(Crayola[[#This Row],[ΔR^2]]*2+Crayola[[#This Row],[ΔG^2]]*4+Crayola[[#This Row],[ΔB^2]]*3)</f>
        <v>282.72778427314142</v>
      </c>
      <c r="L90" s="89"/>
      <c r="M90" s="226"/>
    </row>
    <row r="91" spans="2:13" ht="16.5" x14ac:dyDescent="0.6">
      <c r="B91" t="s">
        <v>283</v>
      </c>
      <c r="C91" t="s">
        <v>284</v>
      </c>
      <c r="D91">
        <v>158</v>
      </c>
      <c r="E91">
        <v>91</v>
      </c>
      <c r="F91">
        <v>64</v>
      </c>
      <c r="G91">
        <f>(Crayola[[#This Row],[R]]-RGB_R)^2</f>
        <v>13689</v>
      </c>
      <c r="H91">
        <f>(Crayola[[#This Row],[G]]-RGB_G)^2</f>
        <v>5041</v>
      </c>
      <c r="I91">
        <f>(Crayola[[#This Row],[B]]-RGB_B)^2</f>
        <v>7225</v>
      </c>
      <c r="J91">
        <f>SQRT(Crayola[[#This Row],[ΔR^2]]+Crayola[[#This Row],[ΔG^2]]+Crayola[[#This Row],[ΔB^2]])</f>
        <v>161.1055554597668</v>
      </c>
      <c r="K91">
        <f>SQRT(Crayola[[#This Row],[ΔR^2]]*2+Crayola[[#This Row],[ΔG^2]]*4+Crayola[[#This Row],[ΔB^2]]*3)</f>
        <v>263.0912389267267</v>
      </c>
      <c r="L91" s="90"/>
      <c r="M91" s="226"/>
    </row>
    <row r="92" spans="2:13" ht="16.5" x14ac:dyDescent="0.6">
      <c r="B92" t="s">
        <v>285</v>
      </c>
      <c r="C92" t="s">
        <v>286</v>
      </c>
      <c r="D92">
        <v>135</v>
      </c>
      <c r="E92">
        <v>66</v>
      </c>
      <c r="F92">
        <v>31</v>
      </c>
      <c r="G92">
        <f>(Crayola[[#This Row],[R]]-RGB_R)^2</f>
        <v>8836</v>
      </c>
      <c r="H92">
        <f>(Crayola[[#This Row],[G]]-RGB_G)^2</f>
        <v>9216</v>
      </c>
      <c r="I92">
        <f>(Crayola[[#This Row],[B]]-RGB_B)^2</f>
        <v>13924</v>
      </c>
      <c r="J92">
        <f>SQRT(Crayola[[#This Row],[ΔR^2]]+Crayola[[#This Row],[ΔG^2]]+Crayola[[#This Row],[ΔB^2]])</f>
        <v>178.8183435780569</v>
      </c>
      <c r="K92">
        <f>SQRT(Crayola[[#This Row],[ΔR^2]]*2+Crayola[[#This Row],[ΔG^2]]*4+Crayola[[#This Row],[ΔB^2]]*3)</f>
        <v>310.33530253582171</v>
      </c>
      <c r="L92" s="91"/>
      <c r="M92" s="226"/>
    </row>
    <row r="93" spans="2:13" ht="16.5" x14ac:dyDescent="0.6">
      <c r="B93" t="s">
        <v>287</v>
      </c>
      <c r="C93" t="s">
        <v>288</v>
      </c>
      <c r="D93">
        <v>146</v>
      </c>
      <c r="E93">
        <v>111</v>
      </c>
      <c r="F93">
        <v>91</v>
      </c>
      <c r="G93">
        <f>(Crayola[[#This Row],[R]]-RGB_R)^2</f>
        <v>11025</v>
      </c>
      <c r="H93">
        <f>(Crayola[[#This Row],[G]]-RGB_G)^2</f>
        <v>2601</v>
      </c>
      <c r="I93">
        <f>(Crayola[[#This Row],[B]]-RGB_B)^2</f>
        <v>3364</v>
      </c>
      <c r="J93">
        <f>SQRT(Crayola[[#This Row],[ΔR^2]]+Crayola[[#This Row],[ΔG^2]]+Crayola[[#This Row],[ΔB^2]])</f>
        <v>130.3456942135029</v>
      </c>
      <c r="K93">
        <f>SQRT(Crayola[[#This Row],[ΔR^2]]*2+Crayola[[#This Row],[ΔG^2]]*4+Crayola[[#This Row],[ΔB^2]]*3)</f>
        <v>206.26681749617413</v>
      </c>
      <c r="L93" s="92"/>
      <c r="M93" s="226"/>
    </row>
    <row r="94" spans="2:13" ht="16.5" x14ac:dyDescent="0.6">
      <c r="B94" t="s">
        <v>289</v>
      </c>
      <c r="C94" t="s">
        <v>290</v>
      </c>
      <c r="D94">
        <v>222</v>
      </c>
      <c r="E94">
        <v>166</v>
      </c>
      <c r="F94">
        <v>129</v>
      </c>
      <c r="G94">
        <f>(Crayola[[#This Row],[R]]-RGB_R)^2</f>
        <v>32761</v>
      </c>
      <c r="H94">
        <f>(Crayola[[#This Row],[G]]-RGB_G)^2</f>
        <v>16</v>
      </c>
      <c r="I94">
        <f>(Crayola[[#This Row],[B]]-RGB_B)^2</f>
        <v>400</v>
      </c>
      <c r="J94">
        <f>SQRT(Crayola[[#This Row],[ΔR^2]]+Crayola[[#This Row],[ΔG^2]]+Crayola[[#This Row],[ΔB^2]])</f>
        <v>182.14554619863753</v>
      </c>
      <c r="K94">
        <f>SQRT(Crayola[[#This Row],[ΔR^2]]*2+Crayola[[#This Row],[ΔG^2]]*4+Crayola[[#This Row],[ΔB^2]]*3)</f>
        <v>258.42987443405224</v>
      </c>
      <c r="L94" s="93"/>
      <c r="M94" s="226"/>
    </row>
    <row r="95" spans="2:13" ht="16.5" x14ac:dyDescent="0.6">
      <c r="B95" t="s">
        <v>291</v>
      </c>
      <c r="C95" t="s">
        <v>292</v>
      </c>
      <c r="D95">
        <v>210</v>
      </c>
      <c r="E95">
        <v>125</v>
      </c>
      <c r="F95">
        <v>70</v>
      </c>
      <c r="G95">
        <f>(Crayola[[#This Row],[R]]-RGB_R)^2</f>
        <v>28561</v>
      </c>
      <c r="H95">
        <f>(Crayola[[#This Row],[G]]-RGB_G)^2</f>
        <v>1369</v>
      </c>
      <c r="I95">
        <f>(Crayola[[#This Row],[B]]-RGB_B)^2</f>
        <v>6241</v>
      </c>
      <c r="J95">
        <f>SQRT(Crayola[[#This Row],[ΔR^2]]+Crayola[[#This Row],[ΔG^2]]+Crayola[[#This Row],[ΔB^2]])</f>
        <v>190.18675032714555</v>
      </c>
      <c r="K95">
        <f>SQRT(Crayola[[#This Row],[ΔR^2]]*2+Crayola[[#This Row],[ΔG^2]]*4+Crayola[[#This Row],[ΔB^2]]*3)</f>
        <v>285.1683713177182</v>
      </c>
      <c r="L95" s="94"/>
      <c r="M95" s="226"/>
    </row>
    <row r="96" spans="2:13" ht="16.5" x14ac:dyDescent="0.6">
      <c r="B96" t="s">
        <v>293</v>
      </c>
      <c r="C96" t="s">
        <v>294</v>
      </c>
      <c r="D96">
        <v>212</v>
      </c>
      <c r="E96">
        <v>154</v>
      </c>
      <c r="F96">
        <v>108</v>
      </c>
      <c r="G96">
        <f>(Crayola[[#This Row],[R]]-RGB_R)^2</f>
        <v>29241</v>
      </c>
      <c r="H96">
        <f>(Crayola[[#This Row],[G]]-RGB_G)^2</f>
        <v>64</v>
      </c>
      <c r="I96">
        <f>(Crayola[[#This Row],[B]]-RGB_B)^2</f>
        <v>1681</v>
      </c>
      <c r="J96">
        <f>SQRT(Crayola[[#This Row],[ΔR^2]]+Crayola[[#This Row],[ΔG^2]]+Crayola[[#This Row],[ΔB^2]])</f>
        <v>176.02840679844829</v>
      </c>
      <c r="K96">
        <f>SQRT(Crayola[[#This Row],[ΔR^2]]*2+Crayola[[#This Row],[ΔG^2]]*4+Crayola[[#This Row],[ΔB^2]]*3)</f>
        <v>252.54900514553606</v>
      </c>
      <c r="L96" s="95"/>
      <c r="M96" s="226"/>
    </row>
    <row r="97" spans="2:13" ht="16.5" x14ac:dyDescent="0.6">
      <c r="B97" t="s">
        <v>295</v>
      </c>
      <c r="C97" t="s">
        <v>296</v>
      </c>
      <c r="D97">
        <v>169</v>
      </c>
      <c r="E97">
        <v>178</v>
      </c>
      <c r="F97">
        <v>195</v>
      </c>
      <c r="G97">
        <f>(Crayola[[#This Row],[R]]-RGB_R)^2</f>
        <v>16384</v>
      </c>
      <c r="H97">
        <f>(Crayola[[#This Row],[G]]-RGB_G)^2</f>
        <v>256</v>
      </c>
      <c r="I97">
        <f>(Crayola[[#This Row],[B]]-RGB_B)^2</f>
        <v>2116</v>
      </c>
      <c r="J97">
        <f>SQRT(Crayola[[#This Row],[ΔR^2]]+Crayola[[#This Row],[ΔG^2]]+Crayola[[#This Row],[ΔB^2]])</f>
        <v>136.95254652615992</v>
      </c>
      <c r="K97">
        <f>SQRT(Crayola[[#This Row],[ΔR^2]]*2+Crayola[[#This Row],[ΔG^2]]*4+Crayola[[#This Row],[ΔB^2]]*3)</f>
        <v>200.34969428476799</v>
      </c>
      <c r="L97" s="96"/>
      <c r="M97" s="226"/>
    </row>
    <row r="98" spans="2:13" ht="16.5" x14ac:dyDescent="0.6">
      <c r="B98" t="s">
        <v>297</v>
      </c>
      <c r="C98" t="s">
        <v>298</v>
      </c>
      <c r="D98">
        <v>255</v>
      </c>
      <c r="E98">
        <v>203</v>
      </c>
      <c r="F98">
        <v>164</v>
      </c>
      <c r="G98">
        <f>(Crayola[[#This Row],[R]]-RGB_R)^2</f>
        <v>45796</v>
      </c>
      <c r="H98">
        <f>(Crayola[[#This Row],[G]]-RGB_G)^2</f>
        <v>1681</v>
      </c>
      <c r="I98">
        <f>(Crayola[[#This Row],[B]]-RGB_B)^2</f>
        <v>225</v>
      </c>
      <c r="J98">
        <f>SQRT(Crayola[[#This Row],[ΔR^2]]+Crayola[[#This Row],[ΔG^2]]+Crayola[[#This Row],[ΔB^2]])</f>
        <v>218.40787531588691</v>
      </c>
      <c r="K98">
        <f>SQRT(Crayola[[#This Row],[ΔR^2]]*2+Crayola[[#This Row],[ΔG^2]]*4+Crayola[[#This Row],[ΔB^2]]*3)</f>
        <v>314.62835218714793</v>
      </c>
      <c r="L98" s="97"/>
      <c r="M98" s="226"/>
    </row>
    <row r="99" spans="2:13" ht="16.5" x14ac:dyDescent="0.6">
      <c r="B99" t="s">
        <v>299</v>
      </c>
      <c r="C99" t="s">
        <v>300</v>
      </c>
      <c r="D99">
        <v>253</v>
      </c>
      <c r="E99">
        <v>213</v>
      </c>
      <c r="F99">
        <v>177</v>
      </c>
      <c r="G99">
        <f>(Crayola[[#This Row],[R]]-RGB_R)^2</f>
        <v>44944</v>
      </c>
      <c r="H99">
        <f>(Crayola[[#This Row],[G]]-RGB_G)^2</f>
        <v>2601</v>
      </c>
      <c r="I99">
        <f>(Crayola[[#This Row],[B]]-RGB_B)^2</f>
        <v>784</v>
      </c>
      <c r="J99">
        <f>SQRT(Crayola[[#This Row],[ΔR^2]]+Crayola[[#This Row],[ΔG^2]]+Crayola[[#This Row],[ΔB^2]])</f>
        <v>219.83857714241148</v>
      </c>
      <c r="K99">
        <f>SQRT(Crayola[[#This Row],[ΔR^2]]*2+Crayola[[#This Row],[ΔG^2]]*4+Crayola[[#This Row],[ΔB^2]]*3)</f>
        <v>320.38102315836375</v>
      </c>
      <c r="L99" s="98"/>
      <c r="M99" s="226"/>
    </row>
    <row r="100" spans="2:13" ht="16.5" x14ac:dyDescent="0.6">
      <c r="B100" t="s">
        <v>301</v>
      </c>
      <c r="C100" t="s">
        <v>302</v>
      </c>
      <c r="D100">
        <v>238</v>
      </c>
      <c r="E100">
        <v>217</v>
      </c>
      <c r="F100">
        <v>196</v>
      </c>
      <c r="G100">
        <f>(Crayola[[#This Row],[R]]-RGB_R)^2</f>
        <v>38809</v>
      </c>
      <c r="H100">
        <f>(Crayola[[#This Row],[G]]-RGB_G)^2</f>
        <v>3025</v>
      </c>
      <c r="I100">
        <f>(Crayola[[#This Row],[B]]-RGB_B)^2</f>
        <v>2209</v>
      </c>
      <c r="J100">
        <f>SQRT(Crayola[[#This Row],[ΔR^2]]+Crayola[[#This Row],[ΔG^2]]+Crayola[[#This Row],[ΔB^2]])</f>
        <v>209.86424183266666</v>
      </c>
      <c r="K100">
        <f>SQRT(Crayola[[#This Row],[ΔR^2]]*2+Crayola[[#This Row],[ΔG^2]]*4+Crayola[[#This Row],[ΔB^2]]*3)</f>
        <v>310.39490975207696</v>
      </c>
      <c r="L100" s="99"/>
      <c r="M100" s="226"/>
    </row>
    <row r="101" spans="2:13" ht="16.5" x14ac:dyDescent="0.6">
      <c r="B101" t="s">
        <v>303</v>
      </c>
      <c r="C101" t="s">
        <v>304</v>
      </c>
      <c r="D101">
        <v>131</v>
      </c>
      <c r="E101">
        <v>112</v>
      </c>
      <c r="F101">
        <v>80</v>
      </c>
      <c r="G101">
        <f>(Crayola[[#This Row],[R]]-RGB_R)^2</f>
        <v>8100</v>
      </c>
      <c r="H101">
        <f>(Crayola[[#This Row],[G]]-RGB_G)^2</f>
        <v>2500</v>
      </c>
      <c r="I101">
        <f>(Crayola[[#This Row],[B]]-RGB_B)^2</f>
        <v>4761</v>
      </c>
      <c r="J101">
        <f>SQRT(Crayola[[#This Row],[ΔR^2]]+Crayola[[#This Row],[ΔG^2]]+Crayola[[#This Row],[ΔB^2]])</f>
        <v>123.93950137062841</v>
      </c>
      <c r="K101">
        <f>SQRT(Crayola[[#This Row],[ΔR^2]]*2+Crayola[[#This Row],[ΔG^2]]*4+Crayola[[#This Row],[ΔB^2]]*3)</f>
        <v>201.20387670221467</v>
      </c>
      <c r="L101" s="100"/>
      <c r="M101" s="226"/>
    </row>
    <row r="102" spans="2:13" ht="16.5" x14ac:dyDescent="0.6">
      <c r="B102" t="s">
        <v>305</v>
      </c>
      <c r="C102" t="s">
        <v>306</v>
      </c>
      <c r="D102">
        <v>217</v>
      </c>
      <c r="E102">
        <v>214</v>
      </c>
      <c r="F102">
        <v>207</v>
      </c>
      <c r="G102">
        <f>(Crayola[[#This Row],[R]]-RGB_R)^2</f>
        <v>30976</v>
      </c>
      <c r="H102">
        <f>(Crayola[[#This Row],[G]]-RGB_G)^2</f>
        <v>2704</v>
      </c>
      <c r="I102">
        <f>(Crayola[[#This Row],[B]]-RGB_B)^2</f>
        <v>3364</v>
      </c>
      <c r="J102">
        <f>SQRT(Crayola[[#This Row],[ΔR^2]]+Crayola[[#This Row],[ΔG^2]]+Crayola[[#This Row],[ΔB^2]])</f>
        <v>192.46817918814529</v>
      </c>
      <c r="K102">
        <f>SQRT(Crayola[[#This Row],[ΔR^2]]*2+Crayola[[#This Row],[ΔG^2]]*4+Crayola[[#This Row],[ΔB^2]]*3)</f>
        <v>287.85412972545663</v>
      </c>
      <c r="L102" s="101"/>
      <c r="M102" s="226"/>
    </row>
    <row r="103" spans="2:13" ht="16.5" x14ac:dyDescent="0.6">
      <c r="B103" t="s">
        <v>307</v>
      </c>
      <c r="C103" t="s">
        <v>308</v>
      </c>
      <c r="D103">
        <v>230</v>
      </c>
      <c r="E103">
        <v>190</v>
      </c>
      <c r="F103">
        <v>138</v>
      </c>
      <c r="G103">
        <f>(Crayola[[#This Row],[R]]-RGB_R)^2</f>
        <v>35721</v>
      </c>
      <c r="H103">
        <f>(Crayola[[#This Row],[G]]-RGB_G)^2</f>
        <v>784</v>
      </c>
      <c r="I103">
        <f>(Crayola[[#This Row],[B]]-RGB_B)^2</f>
        <v>121</v>
      </c>
      <c r="J103">
        <f>SQRT(Crayola[[#This Row],[ΔR^2]]+Crayola[[#This Row],[ΔG^2]]+Crayola[[#This Row],[ΔB^2]])</f>
        <v>191.3792047219342</v>
      </c>
      <c r="K103">
        <f>SQRT(Crayola[[#This Row],[ΔR^2]]*2+Crayola[[#This Row],[ΔG^2]]*4+Crayola[[#This Row],[ΔB^2]]*3)</f>
        <v>273.75353878991228</v>
      </c>
      <c r="L103" s="102"/>
      <c r="M103" s="226"/>
    </row>
    <row r="104" spans="2:13" ht="16.5" x14ac:dyDescent="0.6">
      <c r="B104" t="s">
        <v>309</v>
      </c>
      <c r="C104" t="s">
        <v>310</v>
      </c>
      <c r="D104">
        <v>201</v>
      </c>
      <c r="E104">
        <v>192</v>
      </c>
      <c r="F104">
        <v>187</v>
      </c>
      <c r="G104">
        <f>(Crayola[[#This Row],[R]]-RGB_R)^2</f>
        <v>25600</v>
      </c>
      <c r="H104">
        <f>(Crayola[[#This Row],[G]]-RGB_G)^2</f>
        <v>900</v>
      </c>
      <c r="I104">
        <f>(Crayola[[#This Row],[B]]-RGB_B)^2</f>
        <v>1444</v>
      </c>
      <c r="J104">
        <f>SQRT(Crayola[[#This Row],[ΔR^2]]+Crayola[[#This Row],[ΔG^2]]+Crayola[[#This Row],[ΔB^2]])</f>
        <v>167.16458955173491</v>
      </c>
      <c r="K104">
        <f>SQRT(Crayola[[#This Row],[ΔR^2]]*2+Crayola[[#This Row],[ΔG^2]]*4+Crayola[[#This Row],[ΔB^2]]*3)</f>
        <v>243.17072192186296</v>
      </c>
      <c r="L104" s="103"/>
      <c r="M104" s="226"/>
    </row>
    <row r="105" spans="2:13" ht="16.5" x14ac:dyDescent="0.6">
      <c r="B105" t="s">
        <v>311</v>
      </c>
      <c r="C105" t="s">
        <v>312</v>
      </c>
      <c r="D105">
        <v>218</v>
      </c>
      <c r="E105">
        <v>138</v>
      </c>
      <c r="F105">
        <v>103</v>
      </c>
      <c r="G105">
        <f>(Crayola[[#This Row],[R]]-RGB_R)^2</f>
        <v>31329</v>
      </c>
      <c r="H105">
        <f>(Crayola[[#This Row],[G]]-RGB_G)^2</f>
        <v>576</v>
      </c>
      <c r="I105">
        <f>(Crayola[[#This Row],[B]]-RGB_B)^2</f>
        <v>2116</v>
      </c>
      <c r="J105">
        <f>SQRT(Crayola[[#This Row],[ΔR^2]]+Crayola[[#This Row],[ΔG^2]]+Crayola[[#This Row],[ΔB^2]])</f>
        <v>184.44782460088814</v>
      </c>
      <c r="K105">
        <f>SQRT(Crayola[[#This Row],[ΔR^2]]*2+Crayola[[#This Row],[ΔG^2]]*4+Crayola[[#This Row],[ΔB^2]]*3)</f>
        <v>267.03932294701468</v>
      </c>
      <c r="L105" s="104"/>
      <c r="M105" s="226"/>
    </row>
    <row r="106" spans="2:13" ht="16.5" x14ac:dyDescent="0.6">
      <c r="B106" t="s">
        <v>313</v>
      </c>
      <c r="C106" t="s">
        <v>314</v>
      </c>
      <c r="D106">
        <v>200</v>
      </c>
      <c r="E106">
        <v>138</v>
      </c>
      <c r="F106">
        <v>101</v>
      </c>
      <c r="G106">
        <f>(Crayola[[#This Row],[R]]-RGB_R)^2</f>
        <v>25281</v>
      </c>
      <c r="H106">
        <f>(Crayola[[#This Row],[G]]-RGB_G)^2</f>
        <v>576</v>
      </c>
      <c r="I106">
        <f>(Crayola[[#This Row],[B]]-RGB_B)^2</f>
        <v>2304</v>
      </c>
      <c r="J106">
        <f>SQRT(Crayola[[#This Row],[ΔR^2]]+Crayola[[#This Row],[ΔG^2]]+Crayola[[#This Row],[ΔB^2]])</f>
        <v>167.81239525136397</v>
      </c>
      <c r="K106">
        <f>SQRT(Crayola[[#This Row],[ΔR^2]]*2+Crayola[[#This Row],[ΔG^2]]*4+Crayola[[#This Row],[ΔB^2]]*3)</f>
        <v>244.49539872971025</v>
      </c>
      <c r="L106" s="105"/>
      <c r="M106" s="226"/>
    </row>
    <row r="107" spans="2:13" ht="16.5" x14ac:dyDescent="0.6">
      <c r="B107" t="s">
        <v>315</v>
      </c>
      <c r="C107" t="s">
        <v>316</v>
      </c>
      <c r="D107">
        <v>0</v>
      </c>
      <c r="E107">
        <v>0</v>
      </c>
      <c r="F107">
        <v>0</v>
      </c>
      <c r="G107">
        <f>(Crayola[[#This Row],[R]]-RGB_R)^2</f>
        <v>1681</v>
      </c>
      <c r="H107">
        <f>(Crayola[[#This Row],[G]]-RGB_G)^2</f>
        <v>26244</v>
      </c>
      <c r="I107">
        <f>(Crayola[[#This Row],[B]]-RGB_B)^2</f>
        <v>22201</v>
      </c>
      <c r="J107">
        <f>SQRT(Crayola[[#This Row],[ΔR^2]]+Crayola[[#This Row],[ΔG^2]]+Crayola[[#This Row],[ΔB^2]])</f>
        <v>223.88836503936511</v>
      </c>
      <c r="K107">
        <f>SQRT(Crayola[[#This Row],[ΔR^2]]*2+Crayola[[#This Row],[ΔG^2]]*4+Crayola[[#This Row],[ΔB^2]]*3)</f>
        <v>418.25948883438377</v>
      </c>
      <c r="L107" s="1"/>
      <c r="M107" s="226"/>
    </row>
    <row r="108" spans="2:13" ht="16.5" x14ac:dyDescent="0.6">
      <c r="B108" t="s">
        <v>317</v>
      </c>
      <c r="C108" t="s">
        <v>318</v>
      </c>
      <c r="D108">
        <v>139</v>
      </c>
      <c r="E108">
        <v>134</v>
      </c>
      <c r="F108">
        <v>128</v>
      </c>
      <c r="G108">
        <f>(Crayola[[#This Row],[R]]-RGB_R)^2</f>
        <v>9604</v>
      </c>
      <c r="H108">
        <f>(Crayola[[#This Row],[G]]-RGB_G)^2</f>
        <v>784</v>
      </c>
      <c r="I108">
        <f>(Crayola[[#This Row],[B]]-RGB_B)^2</f>
        <v>441</v>
      </c>
      <c r="J108">
        <f>SQRT(Crayola[[#This Row],[ΔR^2]]+Crayola[[#This Row],[ΔG^2]]+Crayola[[#This Row],[ΔB^2]])</f>
        <v>104.06248123122954</v>
      </c>
      <c r="K108">
        <f>SQRT(Crayola[[#This Row],[ΔR^2]]*2+Crayola[[#This Row],[ΔG^2]]*4+Crayola[[#This Row],[ΔB^2]]*3)</f>
        <v>153.84082683085137</v>
      </c>
      <c r="L108" s="106"/>
      <c r="M108" s="226"/>
    </row>
    <row r="109" spans="2:13" ht="16.5" x14ac:dyDescent="0.6">
      <c r="B109" t="s">
        <v>319</v>
      </c>
      <c r="C109" t="s">
        <v>320</v>
      </c>
      <c r="D109">
        <v>255</v>
      </c>
      <c r="E109">
        <v>255</v>
      </c>
      <c r="F109">
        <v>255</v>
      </c>
      <c r="G109">
        <f>(Crayola[[#This Row],[R]]-RGB_R)^2</f>
        <v>45796</v>
      </c>
      <c r="H109">
        <f>(Crayola[[#This Row],[G]]-RGB_G)^2</f>
        <v>8649</v>
      </c>
      <c r="I109">
        <f>(Crayola[[#This Row],[B]]-RGB_B)^2</f>
        <v>11236</v>
      </c>
      <c r="J109">
        <f>SQRT(Crayola[[#This Row],[ΔR^2]]+Crayola[[#This Row],[ΔG^2]]+Crayola[[#This Row],[ΔB^2]])</f>
        <v>256.28304664959796</v>
      </c>
      <c r="K109">
        <f>SQRT(Crayola[[#This Row],[ΔR^2]]*2+Crayola[[#This Row],[ΔG^2]]*4+Crayola[[#This Row],[ΔB^2]]*3)</f>
        <v>399.86997886813157</v>
      </c>
      <c r="L109" s="107"/>
      <c r="M109" s="226"/>
    </row>
    <row r="110" spans="2:13" ht="16.5" x14ac:dyDescent="0.6">
      <c r="B110" t="s">
        <v>321</v>
      </c>
      <c r="C110" t="s">
        <v>322</v>
      </c>
      <c r="D110">
        <v>255</v>
      </c>
      <c r="E110">
        <v>163</v>
      </c>
      <c r="F110">
        <v>67</v>
      </c>
      <c r="G110">
        <f>(Crayola[[#This Row],[R]]-RGB_R)^2</f>
        <v>45796</v>
      </c>
      <c r="H110">
        <f>(Crayola[[#This Row],[G]]-RGB_G)^2</f>
        <v>1</v>
      </c>
      <c r="I110">
        <f>(Crayola[[#This Row],[B]]-RGB_B)^2</f>
        <v>6724</v>
      </c>
      <c r="J110">
        <f>SQRT(Crayola[[#This Row],[ΔR^2]]+Crayola[[#This Row],[ΔG^2]]+Crayola[[#This Row],[ΔB^2]])</f>
        <v>229.17460592308214</v>
      </c>
      <c r="K110">
        <f>SQRT(Crayola[[#This Row],[ΔR^2]]*2+Crayola[[#This Row],[ΔG^2]]*4+Crayola[[#This Row],[ΔB^2]]*3)</f>
        <v>334.31721463304876</v>
      </c>
      <c r="L110" s="108"/>
      <c r="M110" s="226"/>
    </row>
    <row r="111" spans="2:13" ht="16.5" x14ac:dyDescent="0.6">
      <c r="B111" t="s">
        <v>323</v>
      </c>
      <c r="C111" t="s">
        <v>324</v>
      </c>
      <c r="D111">
        <v>238</v>
      </c>
      <c r="E111">
        <v>52</v>
      </c>
      <c r="F111">
        <v>178</v>
      </c>
      <c r="G111">
        <f>(Crayola[[#This Row],[R]]-RGB_R)^2</f>
        <v>38809</v>
      </c>
      <c r="H111">
        <f>(Crayola[[#This Row],[G]]-RGB_G)^2</f>
        <v>12100</v>
      </c>
      <c r="I111">
        <f>(Crayola[[#This Row],[B]]-RGB_B)^2</f>
        <v>841</v>
      </c>
      <c r="J111">
        <f>SQRT(Crayola[[#This Row],[ΔR^2]]+Crayola[[#This Row],[ΔG^2]]+Crayola[[#This Row],[ΔB^2]])</f>
        <v>227.48626332154652</v>
      </c>
      <c r="K111">
        <f>SQRT(Crayola[[#This Row],[ΔR^2]]*2+Crayola[[#This Row],[ΔG^2]]*4+Crayola[[#This Row],[ΔB^2]]*3)</f>
        <v>358.5261496739115</v>
      </c>
      <c r="L111" s="109"/>
      <c r="M111" s="226"/>
    </row>
    <row r="112" spans="2:13" ht="16.5" x14ac:dyDescent="0.6">
      <c r="B112" t="s">
        <v>325</v>
      </c>
      <c r="C112" t="s">
        <v>326</v>
      </c>
      <c r="D112">
        <v>255</v>
      </c>
      <c r="E112">
        <v>53</v>
      </c>
      <c r="F112">
        <v>94</v>
      </c>
      <c r="G112">
        <f>(Crayola[[#This Row],[R]]-RGB_R)^2</f>
        <v>45796</v>
      </c>
      <c r="H112">
        <f>(Crayola[[#This Row],[G]]-RGB_G)^2</f>
        <v>11881</v>
      </c>
      <c r="I112">
        <f>(Crayola[[#This Row],[B]]-RGB_B)^2</f>
        <v>3025</v>
      </c>
      <c r="J112">
        <f>SQRT(Crayola[[#This Row],[ΔR^2]]+Crayola[[#This Row],[ΔG^2]]+Crayola[[#This Row],[ΔB^2]])</f>
        <v>246.37775873645737</v>
      </c>
      <c r="K112">
        <f>SQRT(Crayola[[#This Row],[ΔR^2]]*2+Crayola[[#This Row],[ΔG^2]]*4+Crayola[[#This Row],[ΔB^2]]*3)</f>
        <v>384.95584162342567</v>
      </c>
      <c r="L112" s="110"/>
      <c r="M112" s="226"/>
    </row>
    <row r="113" spans="2:13" ht="16.5" x14ac:dyDescent="0.6">
      <c r="B113" t="s">
        <v>327</v>
      </c>
      <c r="C113" t="s">
        <v>328</v>
      </c>
      <c r="D113">
        <v>253</v>
      </c>
      <c r="E113">
        <v>91</v>
      </c>
      <c r="F113">
        <v>120</v>
      </c>
      <c r="G113">
        <f>(Crayola[[#This Row],[R]]-RGB_R)^2</f>
        <v>44944</v>
      </c>
      <c r="H113">
        <f>(Crayola[[#This Row],[G]]-RGB_G)^2</f>
        <v>5041</v>
      </c>
      <c r="I113">
        <f>(Crayola[[#This Row],[B]]-RGB_B)^2</f>
        <v>841</v>
      </c>
      <c r="J113">
        <f>SQRT(Crayola[[#This Row],[ΔR^2]]+Crayola[[#This Row],[ΔG^2]]+Crayola[[#This Row],[ΔB^2]])</f>
        <v>225.44622418661174</v>
      </c>
      <c r="K113">
        <f>SQRT(Crayola[[#This Row],[ΔR^2]]*2+Crayola[[#This Row],[ΔG^2]]*4+Crayola[[#This Row],[ΔB^2]]*3)</f>
        <v>335.52198139615234</v>
      </c>
      <c r="L113" s="111"/>
      <c r="M113" s="226"/>
    </row>
    <row r="114" spans="2:13" ht="16.5" x14ac:dyDescent="0.6">
      <c r="B114" t="s">
        <v>329</v>
      </c>
      <c r="C114" t="s">
        <v>330</v>
      </c>
      <c r="D114">
        <v>255</v>
      </c>
      <c r="E114">
        <v>96</v>
      </c>
      <c r="F114">
        <v>55</v>
      </c>
      <c r="G114">
        <f>(Crayola[[#This Row],[R]]-RGB_R)^2</f>
        <v>45796</v>
      </c>
      <c r="H114">
        <f>(Crayola[[#This Row],[G]]-RGB_G)^2</f>
        <v>4356</v>
      </c>
      <c r="I114">
        <f>(Crayola[[#This Row],[B]]-RGB_B)^2</f>
        <v>8836</v>
      </c>
      <c r="J114">
        <f>SQRT(Crayola[[#This Row],[ΔR^2]]+Crayola[[#This Row],[ΔG^2]]+Crayola[[#This Row],[ΔB^2]])</f>
        <v>242.87445316459284</v>
      </c>
      <c r="K114">
        <f>SQRT(Crayola[[#This Row],[ΔR^2]]*2+Crayola[[#This Row],[ΔG^2]]*4+Crayola[[#This Row],[ΔB^2]]*3)</f>
        <v>368.13584449222003</v>
      </c>
      <c r="L114" s="112"/>
      <c r="M114" s="226"/>
    </row>
    <row r="115" spans="2:13" ht="16.5" x14ac:dyDescent="0.6">
      <c r="B115" t="s">
        <v>331</v>
      </c>
      <c r="C115" t="s">
        <v>332</v>
      </c>
      <c r="D115">
        <v>255</v>
      </c>
      <c r="E115">
        <v>153</v>
      </c>
      <c r="F115">
        <v>102</v>
      </c>
      <c r="G115">
        <f>(Crayola[[#This Row],[R]]-RGB_R)^2</f>
        <v>45796</v>
      </c>
      <c r="H115">
        <f>(Crayola[[#This Row],[G]]-RGB_G)^2</f>
        <v>81</v>
      </c>
      <c r="I115">
        <f>(Crayola[[#This Row],[B]]-RGB_B)^2</f>
        <v>2209</v>
      </c>
      <c r="J115">
        <f>SQRT(Crayola[[#This Row],[ΔR^2]]+Crayola[[#This Row],[ΔG^2]]+Crayola[[#This Row],[ΔB^2]])</f>
        <v>219.2852024191327</v>
      </c>
      <c r="K115">
        <f>SQRT(Crayola[[#This Row],[ΔR^2]]*2+Crayola[[#This Row],[ΔG^2]]*4+Crayola[[#This Row],[ΔB^2]]*3)</f>
        <v>313.91559375093169</v>
      </c>
      <c r="L115" s="113"/>
      <c r="M115" s="226"/>
    </row>
    <row r="116" spans="2:13" ht="16.5" x14ac:dyDescent="0.6">
      <c r="B116" t="s">
        <v>333</v>
      </c>
      <c r="C116" t="s">
        <v>334</v>
      </c>
      <c r="D116">
        <v>255</v>
      </c>
      <c r="E116">
        <v>204</v>
      </c>
      <c r="F116">
        <v>51</v>
      </c>
      <c r="G116">
        <f>(Crayola[[#This Row],[R]]-RGB_R)^2</f>
        <v>45796</v>
      </c>
      <c r="H116">
        <f>(Crayola[[#This Row],[G]]-RGB_G)^2</f>
        <v>1764</v>
      </c>
      <c r="I116">
        <f>(Crayola[[#This Row],[B]]-RGB_B)^2</f>
        <v>9604</v>
      </c>
      <c r="J116">
        <f>SQRT(Crayola[[#This Row],[ΔR^2]]+Crayola[[#This Row],[ΔG^2]]+Crayola[[#This Row],[ΔB^2]])</f>
        <v>239.08994123551079</v>
      </c>
      <c r="K116">
        <f>SQRT(Crayola[[#This Row],[ΔR^2]]*2+Crayola[[#This Row],[ΔG^2]]*4+Crayola[[#This Row],[ΔB^2]]*3)</f>
        <v>357.01540583005658</v>
      </c>
      <c r="L116" s="114"/>
      <c r="M116" s="226"/>
    </row>
    <row r="117" spans="2:13" ht="16.5" x14ac:dyDescent="0.6">
      <c r="B117" t="s">
        <v>335</v>
      </c>
      <c r="C117" t="s">
        <v>336</v>
      </c>
      <c r="D117">
        <v>255</v>
      </c>
      <c r="E117">
        <v>255</v>
      </c>
      <c r="F117">
        <v>102</v>
      </c>
      <c r="G117">
        <f>(Crayola[[#This Row],[R]]-RGB_R)^2</f>
        <v>45796</v>
      </c>
      <c r="H117">
        <f>(Crayola[[#This Row],[G]]-RGB_G)^2</f>
        <v>8649</v>
      </c>
      <c r="I117">
        <f>(Crayola[[#This Row],[B]]-RGB_B)^2</f>
        <v>2209</v>
      </c>
      <c r="J117">
        <f>SQRT(Crayola[[#This Row],[ΔR^2]]+Crayola[[#This Row],[ΔG^2]]+Crayola[[#This Row],[ΔB^2]])</f>
        <v>238.02100747623098</v>
      </c>
      <c r="K117">
        <f>SQRT(Crayola[[#This Row],[ΔR^2]]*2+Crayola[[#This Row],[ΔG^2]]*4+Crayola[[#This Row],[ΔB^2]]*3)</f>
        <v>364.43792338339324</v>
      </c>
      <c r="L117" s="115"/>
      <c r="M117" s="226"/>
    </row>
    <row r="118" spans="2:13" ht="16.5" x14ac:dyDescent="0.6">
      <c r="B118" t="s">
        <v>337</v>
      </c>
      <c r="C118" t="s">
        <v>336</v>
      </c>
      <c r="D118">
        <v>255</v>
      </c>
      <c r="E118">
        <v>255</v>
      </c>
      <c r="F118">
        <v>102</v>
      </c>
      <c r="G118">
        <f>(Crayola[[#This Row],[R]]-RGB_R)^2</f>
        <v>45796</v>
      </c>
      <c r="H118">
        <f>(Crayola[[#This Row],[G]]-RGB_G)^2</f>
        <v>8649</v>
      </c>
      <c r="I118">
        <f>(Crayola[[#This Row],[B]]-RGB_B)^2</f>
        <v>2209</v>
      </c>
      <c r="J118">
        <f>SQRT(Crayola[[#This Row],[ΔR^2]]+Crayola[[#This Row],[ΔG^2]]+Crayola[[#This Row],[ΔB^2]])</f>
        <v>238.02100747623098</v>
      </c>
      <c r="K118">
        <f>SQRT(Crayola[[#This Row],[ΔR^2]]*2+Crayola[[#This Row],[ΔG^2]]*4+Crayola[[#This Row],[ΔB^2]]*3)</f>
        <v>364.43792338339324</v>
      </c>
      <c r="L118" s="115"/>
      <c r="M118" s="226"/>
    </row>
    <row r="119" spans="2:13" ht="16.5" x14ac:dyDescent="0.6">
      <c r="B119" t="s">
        <v>338</v>
      </c>
      <c r="C119" t="s">
        <v>339</v>
      </c>
      <c r="D119">
        <v>197</v>
      </c>
      <c r="E119">
        <v>225</v>
      </c>
      <c r="F119">
        <v>122</v>
      </c>
      <c r="G119">
        <f>(Crayola[[#This Row],[R]]-RGB_R)^2</f>
        <v>24336</v>
      </c>
      <c r="H119">
        <f>(Crayola[[#This Row],[G]]-RGB_G)^2</f>
        <v>3969</v>
      </c>
      <c r="I119">
        <f>(Crayola[[#This Row],[B]]-RGB_B)^2</f>
        <v>729</v>
      </c>
      <c r="J119">
        <f>SQRT(Crayola[[#This Row],[ΔR^2]]+Crayola[[#This Row],[ΔG^2]]+Crayola[[#This Row],[ΔB^2]])</f>
        <v>170.39366185395511</v>
      </c>
      <c r="K119">
        <f>SQRT(Crayola[[#This Row],[ΔR^2]]*2+Crayola[[#This Row],[ΔG^2]]*4+Crayola[[#This Row],[ΔB^2]]*3)</f>
        <v>258.3311827867476</v>
      </c>
      <c r="L119" s="116"/>
      <c r="M119" s="226"/>
    </row>
    <row r="120" spans="2:13" ht="16.5" x14ac:dyDescent="0.6">
      <c r="B120" t="s">
        <v>340</v>
      </c>
      <c r="C120" t="s">
        <v>341</v>
      </c>
      <c r="D120">
        <v>255</v>
      </c>
      <c r="E120">
        <v>110</v>
      </c>
      <c r="F120">
        <v>255</v>
      </c>
      <c r="G120">
        <f>(Crayola[[#This Row],[R]]-RGB_R)^2</f>
        <v>45796</v>
      </c>
      <c r="H120">
        <f>(Crayola[[#This Row],[G]]-RGB_G)^2</f>
        <v>2704</v>
      </c>
      <c r="I120">
        <f>(Crayola[[#This Row],[B]]-RGB_B)^2</f>
        <v>11236</v>
      </c>
      <c r="J120">
        <f>SQRT(Crayola[[#This Row],[ΔR^2]]+Crayola[[#This Row],[ΔG^2]]+Crayola[[#This Row],[ΔB^2]])</f>
        <v>244.40949245068205</v>
      </c>
      <c r="K120">
        <f>SQRT(Crayola[[#This Row],[ΔR^2]]*2+Crayola[[#This Row],[ΔG^2]]*4+Crayola[[#This Row],[ΔB^2]]*3)</f>
        <v>368.93901935143697</v>
      </c>
      <c r="L120" s="117"/>
      <c r="M120" s="226"/>
    </row>
    <row r="121" spans="2:13" ht="16.5" x14ac:dyDescent="0.6">
      <c r="B121" t="s">
        <v>342</v>
      </c>
      <c r="C121" t="s">
        <v>355</v>
      </c>
      <c r="D121">
        <v>255</v>
      </c>
      <c r="E121">
        <v>0</v>
      </c>
      <c r="F121">
        <v>204</v>
      </c>
      <c r="G121">
        <f>(Crayola[[#This Row],[R]]-RGB_R)^2</f>
        <v>45796</v>
      </c>
      <c r="H121">
        <f>(Crayola[[#This Row],[G]]-RGB_G)^2</f>
        <v>26244</v>
      </c>
      <c r="I121">
        <f>(Crayola[[#This Row],[B]]-RGB_B)^2</f>
        <v>3025</v>
      </c>
      <c r="J121">
        <f>SQRT(Crayola[[#This Row],[ΔR^2]]+Crayola[[#This Row],[ΔG^2]]+Crayola[[#This Row],[ΔB^2]])</f>
        <v>273.97992627198073</v>
      </c>
      <c r="K121">
        <f>SQRT(Crayola[[#This Row],[ΔR^2]]*2+Crayola[[#This Row],[ΔG^2]]*4+Crayola[[#This Row],[ΔB^2]]*3)</f>
        <v>453.47877568856518</v>
      </c>
      <c r="L121" s="118"/>
      <c r="M121" s="226"/>
    </row>
    <row r="122" spans="2:13" ht="16.5" x14ac:dyDescent="0.6">
      <c r="B122" t="s">
        <v>344</v>
      </c>
      <c r="C122" t="s">
        <v>343</v>
      </c>
      <c r="D122">
        <v>255</v>
      </c>
      <c r="E122">
        <v>0</v>
      </c>
      <c r="F122">
        <v>204</v>
      </c>
      <c r="G122">
        <f>(Crayola[[#This Row],[R]]-RGB_R)^2</f>
        <v>45796</v>
      </c>
      <c r="H122">
        <f>(Crayola[[#This Row],[G]]-RGB_G)^2</f>
        <v>26244</v>
      </c>
      <c r="I122">
        <f>(Crayola[[#This Row],[B]]-RGB_B)^2</f>
        <v>3025</v>
      </c>
      <c r="J122">
        <f>SQRT(Crayola[[#This Row],[ΔR^2]]+Crayola[[#This Row],[ΔG^2]]+Crayola[[#This Row],[ΔB^2]])</f>
        <v>273.97992627198073</v>
      </c>
      <c r="K122">
        <f>SQRT(Crayola[[#This Row],[ΔR^2]]*2+Crayola[[#This Row],[ΔG^2]]*4+Crayola[[#This Row],[ΔB^2]]*3)</f>
        <v>453.47877568856518</v>
      </c>
      <c r="L122" s="118"/>
      <c r="M122" s="22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C37E0-8240-420E-A2B1-D7EBF47BD921}">
  <sheetPr codeName="Sheet2"/>
  <dimension ref="B3:D10"/>
  <sheetViews>
    <sheetView workbookViewId="0">
      <selection activeCell="F11" sqref="F11"/>
    </sheetView>
  </sheetViews>
  <sheetFormatPr defaultRowHeight="14.25" x14ac:dyDescent="0.45"/>
  <sheetData>
    <row r="3" spans="2:4" x14ac:dyDescent="0.45">
      <c r="B3" t="s">
        <v>2</v>
      </c>
      <c r="C3" t="s">
        <v>3</v>
      </c>
      <c r="D3" t="s">
        <v>345</v>
      </c>
    </row>
    <row r="4" spans="2:4" x14ac:dyDescent="0.45">
      <c r="B4" t="s">
        <v>17</v>
      </c>
      <c r="C4" t="s">
        <v>48</v>
      </c>
      <c r="D4" s="306">
        <v>374458</v>
      </c>
    </row>
    <row r="5" spans="2:4" x14ac:dyDescent="0.45">
      <c r="B5" t="s">
        <v>346</v>
      </c>
      <c r="C5" t="s">
        <v>38</v>
      </c>
      <c r="D5" s="306" t="s">
        <v>347</v>
      </c>
    </row>
    <row r="6" spans="2:4" x14ac:dyDescent="0.45">
      <c r="B6" t="s">
        <v>18</v>
      </c>
      <c r="C6" t="s">
        <v>38</v>
      </c>
      <c r="D6" s="306" t="s">
        <v>348</v>
      </c>
    </row>
    <row r="7" spans="2:4" x14ac:dyDescent="0.45">
      <c r="B7" t="s">
        <v>349</v>
      </c>
      <c r="C7" t="s">
        <v>46</v>
      </c>
      <c r="D7" s="306">
        <v>314550</v>
      </c>
    </row>
    <row r="8" spans="2:4" x14ac:dyDescent="0.45">
      <c r="B8" t="s">
        <v>350</v>
      </c>
      <c r="C8" t="s">
        <v>43</v>
      </c>
      <c r="D8" s="306">
        <v>274669</v>
      </c>
    </row>
    <row r="9" spans="2:4" x14ac:dyDescent="0.45">
      <c r="B9" t="s">
        <v>351</v>
      </c>
      <c r="C9" t="s">
        <v>46</v>
      </c>
      <c r="D9" s="306" t="s">
        <v>352</v>
      </c>
    </row>
    <row r="10" spans="2:4" x14ac:dyDescent="0.45">
      <c r="B10" t="s">
        <v>353</v>
      </c>
      <c r="C10" t="s">
        <v>35</v>
      </c>
      <c r="D10" s="306" t="s">
        <v>354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_x0028_Info_x0029_ xmlns="3c51eafd-3493-4632-83e7-63f040bcbc1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9B85212B152BB44960B023881C68F4B" ma:contentTypeVersion="13" ma:contentTypeDescription="Create a new document." ma:contentTypeScope="" ma:versionID="bad5ddd8a11c53db688f08fd5fdb247c">
  <xsd:schema xmlns:xsd="http://www.w3.org/2001/XMLSchema" xmlns:xs="http://www.w3.org/2001/XMLSchema" xmlns:p="http://schemas.microsoft.com/office/2006/metadata/properties" xmlns:ns2="3c51eafd-3493-4632-83e7-63f040bcbc1b" xmlns:ns3="2179fe7e-0faf-432d-98bb-3d39846cbbe0" targetNamespace="http://schemas.microsoft.com/office/2006/metadata/properties" ma:root="true" ma:fieldsID="ca9cd3c04220155c7df5378c38ac894c" ns2:_="" ns3:_="">
    <xsd:import namespace="3c51eafd-3493-4632-83e7-63f040bcbc1b"/>
    <xsd:import namespace="2179fe7e-0faf-432d-98bb-3d39846cbb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Data_x0020__x0028_Info_x0029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51eafd-3493-4632-83e7-63f040bcbc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Data_x0020__x0028_Info_x0029_" ma:index="20" nillable="true" ma:displayName="Data (Info)" ma:description="Earth Observations taken by the Expedition 22 Crew aboard the International Space Station (ISS). View of Gobi Desert, China&#10;&#10;Taken 02-16-2010" ma:format="Dropdown" ma:internalName="Data_x0020__x0028_Info_x0029_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79fe7e-0faf-432d-98bb-3d39846cbb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9F092F-6A9B-468D-B909-7875EBBC47A3}">
  <ds:schemaRefs>
    <ds:schemaRef ds:uri="http://purl.org/dc/terms/"/>
    <ds:schemaRef ds:uri="2179fe7e-0faf-432d-98bb-3d39846cbbe0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3c51eafd-3493-4632-83e7-63f040bcbc1b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C482BD-7F9C-4DE9-BB8D-D5ECE386A0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E62D1A-DED5-4890-9161-FB6830240A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51eafd-3493-4632-83e7-63f040bcbc1b"/>
    <ds:schemaRef ds:uri="2179fe7e-0faf-432d-98bb-3d39846cbb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Sheet1</vt:lpstr>
      <vt:lpstr>Sheet3</vt:lpstr>
      <vt:lpstr>ISS Images</vt:lpstr>
      <vt:lpstr>Biome_1</vt:lpstr>
      <vt:lpstr>Biome_2</vt:lpstr>
      <vt:lpstr>Biome_3</vt:lpstr>
      <vt:lpstr>Biome_4</vt:lpstr>
      <vt:lpstr>Biome_5</vt:lpstr>
      <vt:lpstr>Biome_6</vt:lpstr>
      <vt:lpstr>Biome_7</vt:lpstr>
      <vt:lpstr>BiomeC_1</vt:lpstr>
      <vt:lpstr>BiomeC_2</vt:lpstr>
      <vt:lpstr>BiomeC_3</vt:lpstr>
      <vt:lpstr>BiomeC_4</vt:lpstr>
      <vt:lpstr>BiomeC_5</vt:lpstr>
      <vt:lpstr>BiomeC_6</vt:lpstr>
      <vt:lpstr>BiomeC_7</vt:lpstr>
      <vt:lpstr>Min_B</vt:lpstr>
      <vt:lpstr>Min_G</vt:lpstr>
      <vt:lpstr>Min_R</vt:lpstr>
      <vt:lpstr>RGB_B</vt:lpstr>
      <vt:lpstr>RGB_G</vt:lpstr>
      <vt:lpstr>RGB_R</vt:lpstr>
      <vt:lpstr>Tundra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Leif Brenne</dc:creator>
  <cp:keywords/>
  <dc:description/>
  <cp:lastModifiedBy>Leif Brenne</cp:lastModifiedBy>
  <cp:revision/>
  <dcterms:created xsi:type="dcterms:W3CDTF">2019-05-24T21:04:24Z</dcterms:created>
  <dcterms:modified xsi:type="dcterms:W3CDTF">2019-05-30T20:11:12Z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67bc7311-67b4-4386-9ae4-4815e0146c9e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MSIP_Label_f42aa342-8706-4288-bd11-ebb85995028c_Enabled">
    <vt:lpwstr>true</vt:lpwstr>
  </property>
  <property fmtid="{D5CDD505-2E9C-101B-9397-08002B2CF9AE}" pid="6" name="MSIP_Label_f42aa342-8706-4288-bd11-ebb85995028c_SetDate">
    <vt:lpwstr>2019-05-24T21:04:26-0800</vt:lpwstr>
  </property>
  <property fmtid="{D5CDD505-2E9C-101B-9397-08002B2CF9AE}" pid="7" name="MSIP_Label_f42aa342-8706-4288-bd11-ebb85995028c_Method">
    <vt:lpwstr>Standard</vt:lpwstr>
  </property>
  <property fmtid="{D5CDD505-2E9C-101B-9397-08002B2CF9AE}" pid="8" name="MSIP_Label_f42aa342-8706-4288-bd11-ebb85995028c_Name">
    <vt:lpwstr>Internal</vt:lpwstr>
  </property>
  <property fmtid="{D5CDD505-2E9C-101B-9397-08002B2CF9AE}" pid="9" name="MSIP_Label_f42aa342-8706-4288-bd11-ebb85995028c_SiteId">
    <vt:lpwstr>72f988bf-86f1-41af-91ab-2d7cd011db47</vt:lpwstr>
  </property>
  <property fmtid="{D5CDD505-2E9C-101B-9397-08002B2CF9AE}" pid="10" name="MSIP_Label_f42aa342-8706-4288-bd11-ebb85995028c_ActionId">
    <vt:lpwstr>9ae32ddf-c5b7-4bd2-bdce-0000cbed00d2</vt:lpwstr>
  </property>
  <property fmtid="{D5CDD505-2E9C-101B-9397-08002B2CF9AE}" pid="11" name="MSIP_Label_f42aa342-8706-4288-bd11-ebb85995028c_ContentBits">
    <vt:lpwstr>0</vt:lpwstr>
  </property>
  <property fmtid="{D5CDD505-2E9C-101B-9397-08002B2CF9AE}" pid="12" name="ContentTypeId">
    <vt:lpwstr>0x01010099B85212B152BB44960B023881C68F4B</vt:lpwstr>
  </property>
</Properties>
</file>